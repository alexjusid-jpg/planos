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תב כמויות" sheetId="1" state="visible" r:id="rId3"/>
    <sheet name="כמויות לפי קומה" sheetId="2" state="visible" r:id="rId4"/>
    <sheet name="כבלים" sheetId="3" state="visible" r:id="rId5"/>
    <sheet name="הערות" sheetId="4" state="visible" r:id="rId6"/>
  </sheets>
  <definedNames>
    <definedName function="false" hidden="false" localSheetId="0" name="_xlnm.Print_Titles" vbProcedure="false">'כתב כמויות'!$9:$9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FreeSans"/>
            <family val="2"/>
          </rPr>
          <t xml:space="preserve">הנחה: </t>
        </r>
        <r>
          <rPr>
            <sz val="10"/>
            <rFont val="Arial"/>
            <family val="2"/>
          </rPr>
          <t xml:space="preserve">5% בלתי צפוי. לעדכן.</t>
        </r>
      </text>
    </comment>
    <comment ref="C7" authorId="0">
      <text>
        <r>
          <rPr>
            <sz val="10"/>
            <rFont val="FreeSans"/>
            <family val="2"/>
          </rPr>
          <t xml:space="preserve">מע"מ </t>
        </r>
        <r>
          <rPr>
            <sz val="10"/>
            <rFont val="Arial"/>
            <family val="2"/>
          </rPr>
          <t xml:space="preserve">18% (מ-01/2025). 0% אם לא רלוונטי.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FreeSans"/>
            <family val="2"/>
          </rPr>
          <t xml:space="preserve">עמוד: </t>
        </r>
        <r>
          <rPr>
            <sz val="10"/>
            <rFont val="Arial"/>
            <family val="2"/>
          </rPr>
          <t xml:space="preserve">9 קטעים × 3.2 מ' (גובה קומה).</t>
        </r>
      </text>
    </comment>
  </commentList>
</comments>
</file>

<file path=xl/sharedStrings.xml><?xml version="1.0" encoding="utf-8"?>
<sst xmlns="http://schemas.openxmlformats.org/spreadsheetml/2006/main" count="150" uniqueCount="104">
  <si>
    <t xml:space="preserve">כתב כמויות ותקציב</t>
  </si>
  <si>
    <t xml:space="preserve">מגדלי ים התיכון – דיור מוגן · 8 קומות + קרקע · 32 דירות</t>
  </si>
  <si>
    <t xml:space="preserve">לקוח: ACE BG · Advantecnia      תאריך: 23/10/2026</t>
  </si>
  <si>
    <t xml:space="preserve">מטבע</t>
  </si>
  <si>
    <t xml:space="preserve">₪ ILS</t>
  </si>
  <si>
    <t xml:space="preserve">תאים צהובים = למילוי (מחירי יחידה). טקסט כחול = נתוני קלט; שחור = נוסחאות; ירוק = קישור לגיליון אחר.</t>
  </si>
  <si>
    <t xml:space="preserve">בלתי צפוי</t>
  </si>
  <si>
    <t xml:space="preserve">מע"מ (ישראל)</t>
  </si>
  <si>
    <t xml:space="preserve">#</t>
  </si>
  <si>
    <t xml:space="preserve">קוד</t>
  </si>
  <si>
    <t xml:space="preserve">תיאור</t>
  </si>
  <si>
    <t xml:space="preserve">יחידה</t>
  </si>
  <si>
    <t xml:space="preserve">כמות</t>
  </si>
  <si>
    <t xml:space="preserve">מחיר ליחידה</t>
  </si>
  <si>
    <t xml:space="preserve">סה"כ</t>
  </si>
  <si>
    <t xml:space="preserve">הערה</t>
  </si>
  <si>
    <t xml:space="preserve">בדירות (4 לקומה)</t>
  </si>
  <si>
    <t xml:space="preserve">TAB</t>
  </si>
  <si>
    <t xml:space="preserve">טאבלט בדלת (iPad / Android) – קריאה ודיבור</t>
  </si>
  <si>
    <t xml:space="preserve">יח'</t>
  </si>
  <si>
    <t xml:space="preserve">1 לכל דירה</t>
  </si>
  <si>
    <t xml:space="preserve">ACE82182451</t>
  </si>
  <si>
    <t xml:space="preserve">פנל קריאה קולי עם לחצנים</t>
  </si>
  <si>
    <t xml:space="preserve">סלון + כל חדר שינה</t>
  </si>
  <si>
    <t xml:space="preserve">ACE40320303W</t>
  </si>
  <si>
    <t xml:space="preserve">משיכת חבל (אסלה ומקלחת)</t>
  </si>
  <si>
    <t xml:space="preserve">4 לכל דירה</t>
  </si>
  <si>
    <t xml:space="preserve">ACE71610003</t>
  </si>
  <si>
    <t xml:space="preserve">LCom – מרכז רדיאלי של הדירה (תקרה)</t>
  </si>
  <si>
    <t xml:space="preserve">שירותים ציבוריים</t>
  </si>
  <si>
    <t xml:space="preserve">משיכת חבל</t>
  </si>
  <si>
    <t xml:space="preserve">1 לקומה + 2 בקרקע</t>
  </si>
  <si>
    <t xml:space="preserve">ACE41020309</t>
  </si>
  <si>
    <t xml:space="preserve">מנורת מסדרון מעל הדלת</t>
  </si>
  <si>
    <t xml:space="preserve">מעל כל דלת</t>
  </si>
  <si>
    <t xml:space="preserve">LCom – מרכז (תקרה)</t>
  </si>
  <si>
    <t xml:space="preserve">1 לקומה + 1 בקרקע</t>
  </si>
  <si>
    <t xml:space="preserve">ארונות ומרכזייה</t>
  </si>
  <si>
    <t xml:space="preserve">ACE70810000</t>
  </si>
  <si>
    <t xml:space="preserve">BoxCom – מרכז באס (תקרה)</t>
  </si>
  <si>
    <t xml:space="preserve">2 לקומה + 1 בקרקע</t>
  </si>
  <si>
    <t xml:space="preserve">DES-1210-28P</t>
  </si>
  <si>
    <t xml:space="preserve">מתג PoE D-Link DES-1210-28P 24 פורטים</t>
  </si>
  <si>
    <t xml:space="preserve">1 לקומה + קרקע</t>
  </si>
  <si>
    <t xml:space="preserve">GAB</t>
  </si>
  <si>
    <t xml:space="preserve">ארון קיר 12U עם פאץ' פנל</t>
  </si>
  <si>
    <t xml:space="preserve">1 לקומה</t>
  </si>
  <si>
    <t xml:space="preserve">GAB-PB</t>
  </si>
  <si>
    <t xml:space="preserve">ארון ראשי עם UPS</t>
  </si>
  <si>
    <t xml:space="preserve">קומת קרקע</t>
  </si>
  <si>
    <t xml:space="preserve">Buslogic Premium</t>
  </si>
  <si>
    <t xml:space="preserve">שרת Buslogic Premium (Advantcare) עם תוכנה</t>
  </si>
  <si>
    <t xml:space="preserve">Grandstream</t>
  </si>
  <si>
    <t xml:space="preserve">טלפון Grandstream Android PoE (צבע לפי סוג קריאה)</t>
  </si>
  <si>
    <t xml:space="preserve">עמדת אחות</t>
  </si>
  <si>
    <t xml:space="preserve">כבלים (+ רזרבה, ראה גיליון כבלים)</t>
  </si>
  <si>
    <t xml:space="preserve">APT</t>
  </si>
  <si>
    <t xml:space="preserve">Cat6 רדיאלי בתוך הדירות (ירוק)</t>
  </si>
  <si>
    <t xml:space="preserve">מ'</t>
  </si>
  <si>
    <t xml:space="preserve">אורך מהמודל + רזרבה</t>
  </si>
  <si>
    <t xml:space="preserve">CHAIN</t>
  </si>
  <si>
    <t xml:space="preserve">Cat6 / Cat7 שרשרת LCom ← BoxCom (כתום)</t>
  </si>
  <si>
    <t xml:space="preserve">NET</t>
  </si>
  <si>
    <t xml:space="preserve">Cat6A / Cat7 ארונות ועמוד (אדום)</t>
  </si>
  <si>
    <t xml:space="preserve">סכום ביניים</t>
  </si>
  <si>
    <t xml:space="preserve">סכום ביניים כולל בלתי צפוי</t>
  </si>
  <si>
    <t xml:space="preserve">סה"כ כולל מע"מ</t>
  </si>
  <si>
    <t xml:space="preserve">כמויות לפי קומה</t>
  </si>
  <si>
    <t xml:space="preserve">קומות טיפוסיות</t>
  </si>
  <si>
    <t xml:space="preserve">← לשנות אם מספר הקומות משתנה</t>
  </si>
  <si>
    <t xml:space="preserve">לקומה טיפוסית</t>
  </si>
  <si>
    <t xml:space="preserve">קומות</t>
  </si>
  <si>
    <t xml:space="preserve">VOZ</t>
  </si>
  <si>
    <t xml:space="preserve">פנל קריאה קולי עם לחצנים – ACE82182451</t>
  </si>
  <si>
    <t xml:space="preserve">TI/TD</t>
  </si>
  <si>
    <t xml:space="preserve">משיכת חבל (אסלה ומקלחת) – ACE40320303W</t>
  </si>
  <si>
    <t xml:space="preserve">LC</t>
  </si>
  <si>
    <t xml:space="preserve">LCom – מרכז רדיאלי של הדירה (תקרה) – ACE71610003</t>
  </si>
  <si>
    <t xml:space="preserve">T</t>
  </si>
  <si>
    <t xml:space="preserve">משיכת חבל – ACE40320303W</t>
  </si>
  <si>
    <t xml:space="preserve">LP</t>
  </si>
  <si>
    <t xml:space="preserve">מנורת מסדרון מעל הדלת – ACE41020309</t>
  </si>
  <si>
    <t xml:space="preserve">LCom – מרכז (תקרה) – ACE71610003</t>
  </si>
  <si>
    <t xml:space="preserve">BC</t>
  </si>
  <si>
    <t xml:space="preserve">BoxCom – מרכז באס (תקרה) – ACE70810000</t>
  </si>
  <si>
    <t xml:space="preserve">SW</t>
  </si>
  <si>
    <t xml:space="preserve">מתג PoE D-Link DES-1210-28P 24 פורטים – DES-1210-28P</t>
  </si>
  <si>
    <t xml:space="preserve">SRV</t>
  </si>
  <si>
    <t xml:space="preserve">שרת Buslogic Premium (Advantcare) עם תוכנה – Buslogic Premium</t>
  </si>
  <si>
    <t xml:space="preserve">TEL</t>
  </si>
  <si>
    <t xml:space="preserve">טלפון Grandstream Android PoE (צבע לפי סוג קריאה) – Grandstream</t>
  </si>
  <si>
    <t xml:space="preserve">כבלים</t>
  </si>
  <si>
    <t xml:space="preserve">רזרבה</t>
  </si>
  <si>
    <t xml:space="preserve">עיגול כלפי מעלה ל-</t>
  </si>
  <si>
    <t xml:space="preserve">מחושב לקומה (מ')</t>
  </si>
  <si>
    <t xml:space="preserve">מחושב קרקע (מ')</t>
  </si>
  <si>
    <t xml:space="preserve">תוספת קבועה (מ')</t>
  </si>
  <si>
    <t xml:space="preserve">כמות לרכישה (מ')</t>
  </si>
  <si>
    <t xml:space="preserve">הערות</t>
  </si>
  <si>
    <t xml:space="preserve">1. הכמויות חושבו מהמודל התלת-ממדי/הדו-ממדי של הפרויקט (קומה טיפוסית × קומות + קרקע).</t>
  </si>
  <si>
    <t xml:space="preserve">2. אורכי הכבלים נמדדו לאורך התוואי המשורטט; רזרבה ועיגול נקבעים בגיליון הכבלים.</t>
  </si>
  <si>
    <t xml:space="preserve">3. מחירי יחידה: למלא לפי מחירון Advantecnia / ספקים בתוקף (תאים צהובים).</t>
  </si>
  <si>
    <t xml:space="preserve">4. בלתי צפוי 5% ומע"מ 18% הם הנחות הניתנות לעריכה (גיליון כתב כמויות, תאים C6 ו-C7).</t>
  </si>
  <si>
    <t xml:space="preserve">5. כמויות בשלב תכנון מוקדם: לאמת באתר לפני רכישה.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</si>
</sst>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"/>
    <numFmt numFmtId="169" formatCode="0&quot; m&quot;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2.6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f aca="false">'כמויות לפי קומה'!F7</f>
        <v>32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f aca="false">'כמויות לפי קומה'!F8</f>
        <v>80</v>
      </c>
      <c r="F12" s="14"/>
      <c r="G12" s="15" t="n">
        <f aca="false">E12*F12</f>
        <v>0</v>
      </c>
      <c r="H12" s="12" t="s">
        <v>23</v>
      </c>
    </row>
    <row r="13" customFormat="false" ht="1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f aca="false">'כמויות לפי קומה'!F9</f>
        <v>128</v>
      </c>
      <c r="F13" s="14"/>
      <c r="G13" s="15" t="n">
        <f aca="false">E13*F13</f>
        <v>0</v>
      </c>
      <c r="H13" s="12" t="s">
        <v>26</v>
      </c>
    </row>
    <row r="14" customFormat="false" ht="1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f aca="false">'כמויות לפי קומה'!F10</f>
        <v>32</v>
      </c>
      <c r="F14" s="14"/>
      <c r="G14" s="15" t="n">
        <f aca="false">E14*F14</f>
        <v>0</v>
      </c>
      <c r="H14" s="12" t="s">
        <v>20</v>
      </c>
    </row>
    <row r="15" customFormat="false" ht="15" hidden="false" customHeight="false" outlineLevel="0" collapsed="false">
      <c r="A15" s="9" t="s">
        <v>29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10" t="n">
        <v>5</v>
      </c>
      <c r="B16" s="11" t="s">
        <v>24</v>
      </c>
      <c r="C16" s="12" t="s">
        <v>30</v>
      </c>
      <c r="D16" s="10" t="s">
        <v>19</v>
      </c>
      <c r="E16" s="13" t="n">
        <f aca="false">'כמויות לפי קומה'!F12</f>
        <v>10</v>
      </c>
      <c r="F16" s="14"/>
      <c r="G16" s="15" t="n">
        <f aca="false">E16*F16</f>
        <v>0</v>
      </c>
      <c r="H16" s="12" t="s">
        <v>31</v>
      </c>
    </row>
    <row r="17" customFormat="false" ht="15" hidden="false" customHeight="false" outlineLevel="0" collapsed="false">
      <c r="A17" s="10" t="n">
        <v>6</v>
      </c>
      <c r="B17" s="11" t="s">
        <v>32</v>
      </c>
      <c r="C17" s="12" t="s">
        <v>33</v>
      </c>
      <c r="D17" s="10" t="s">
        <v>19</v>
      </c>
      <c r="E17" s="13" t="n">
        <f aca="false">'כמויות לפי קומה'!F13</f>
        <v>10</v>
      </c>
      <c r="F17" s="14"/>
      <c r="G17" s="15" t="n">
        <f aca="false">E17*F17</f>
        <v>0</v>
      </c>
      <c r="H17" s="12" t="s">
        <v>34</v>
      </c>
    </row>
    <row r="18" customFormat="false" ht="15" hidden="false" customHeight="false" outlineLevel="0" collapsed="false">
      <c r="A18" s="10" t="n">
        <v>7</v>
      </c>
      <c r="B18" s="11" t="s">
        <v>27</v>
      </c>
      <c r="C18" s="12" t="s">
        <v>35</v>
      </c>
      <c r="D18" s="10" t="s">
        <v>19</v>
      </c>
      <c r="E18" s="13" t="n">
        <f aca="false">'כמויות לפי קומה'!F14</f>
        <v>9</v>
      </c>
      <c r="F18" s="14"/>
      <c r="G18" s="15" t="n">
        <f aca="false">E18*F18</f>
        <v>0</v>
      </c>
      <c r="H18" s="12" t="s">
        <v>36</v>
      </c>
    </row>
    <row r="19" customFormat="false" ht="15" hidden="false" customHeight="false" outlineLevel="0" collapsed="false">
      <c r="A19" s="9" t="s">
        <v>37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10" t="n">
        <v>8</v>
      </c>
      <c r="B20" s="11" t="s">
        <v>38</v>
      </c>
      <c r="C20" s="12" t="s">
        <v>39</v>
      </c>
      <c r="D20" s="10" t="s">
        <v>19</v>
      </c>
      <c r="E20" s="13" t="n">
        <f aca="false">'כמויות לפי קומה'!F16</f>
        <v>17</v>
      </c>
      <c r="F20" s="14"/>
      <c r="G20" s="15" t="n">
        <f aca="false">E20*F20</f>
        <v>0</v>
      </c>
      <c r="H20" s="12" t="s">
        <v>40</v>
      </c>
    </row>
    <row r="21" customFormat="false" ht="15" hidden="false" customHeight="false" outlineLevel="0" collapsed="false">
      <c r="A21" s="10" t="n">
        <v>9</v>
      </c>
      <c r="B21" s="11" t="s">
        <v>41</v>
      </c>
      <c r="C21" s="12" t="s">
        <v>42</v>
      </c>
      <c r="D21" s="10" t="s">
        <v>19</v>
      </c>
      <c r="E21" s="13" t="n">
        <f aca="false">'כמויות לפי קומה'!F17</f>
        <v>9</v>
      </c>
      <c r="F21" s="14"/>
      <c r="G21" s="15" t="n">
        <f aca="false">E21*F21</f>
        <v>0</v>
      </c>
      <c r="H21" s="12" t="s">
        <v>43</v>
      </c>
    </row>
    <row r="22" customFormat="false" ht="15" hidden="false" customHeight="false" outlineLevel="0" collapsed="false">
      <c r="A22" s="10" t="n">
        <v>10</v>
      </c>
      <c r="B22" s="11" t="s">
        <v>44</v>
      </c>
      <c r="C22" s="12" t="s">
        <v>45</v>
      </c>
      <c r="D22" s="10" t="s">
        <v>19</v>
      </c>
      <c r="E22" s="13" t="n">
        <f aca="false">'כמויות לפי קומה'!F18</f>
        <v>8</v>
      </c>
      <c r="F22" s="14"/>
      <c r="G22" s="15" t="n">
        <f aca="false">E22*F22</f>
        <v>0</v>
      </c>
      <c r="H22" s="12" t="s">
        <v>46</v>
      </c>
    </row>
    <row r="23" customFormat="false" ht="15" hidden="false" customHeight="false" outlineLevel="0" collapsed="false">
      <c r="A23" s="10" t="n">
        <v>11</v>
      </c>
      <c r="B23" s="11" t="s">
        <v>47</v>
      </c>
      <c r="C23" s="12" t="s">
        <v>48</v>
      </c>
      <c r="D23" s="10" t="s">
        <v>19</v>
      </c>
      <c r="E23" s="13" t="n">
        <f aca="false">'כמויות לפי קומה'!F19</f>
        <v>1</v>
      </c>
      <c r="F23" s="14"/>
      <c r="G23" s="15" t="n">
        <f aca="false">E23*F23</f>
        <v>0</v>
      </c>
      <c r="H23" s="12" t="s">
        <v>49</v>
      </c>
    </row>
    <row r="24" customFormat="false" ht="15" hidden="false" customHeight="false" outlineLevel="0" collapsed="false">
      <c r="A24" s="10" t="n">
        <v>12</v>
      </c>
      <c r="B24" s="11" t="s">
        <v>50</v>
      </c>
      <c r="C24" s="12" t="s">
        <v>51</v>
      </c>
      <c r="D24" s="10" t="s">
        <v>19</v>
      </c>
      <c r="E24" s="13" t="n">
        <f aca="false">'כמויות לפי קומה'!F20</f>
        <v>1</v>
      </c>
      <c r="F24" s="14"/>
      <c r="G24" s="15" t="n">
        <f aca="false">E24*F24</f>
        <v>0</v>
      </c>
      <c r="H24" s="12" t="s">
        <v>49</v>
      </c>
    </row>
    <row r="25" customFormat="false" ht="15" hidden="false" customHeight="false" outlineLevel="0" collapsed="false">
      <c r="A25" s="10" t="n">
        <v>13</v>
      </c>
      <c r="B25" s="11" t="s">
        <v>52</v>
      </c>
      <c r="C25" s="12" t="s">
        <v>53</v>
      </c>
      <c r="D25" s="10" t="s">
        <v>19</v>
      </c>
      <c r="E25" s="13" t="n">
        <f aca="false">'כמויות לפי קומה'!F21</f>
        <v>1</v>
      </c>
      <c r="F25" s="14"/>
      <c r="G25" s="15" t="n">
        <f aca="false">E25*F25</f>
        <v>0</v>
      </c>
      <c r="H25" s="12" t="s">
        <v>54</v>
      </c>
    </row>
    <row r="26" customFormat="false" ht="12.65" hidden="false" customHeight="false" outlineLevel="0" collapsed="false">
      <c r="A26" s="9" t="s">
        <v>55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10" t="n">
        <v>14</v>
      </c>
      <c r="B27" s="11" t="s">
        <v>56</v>
      </c>
      <c r="C27" s="12" t="s">
        <v>57</v>
      </c>
      <c r="D27" s="10" t="s">
        <v>58</v>
      </c>
      <c r="E27" s="13" t="n">
        <f aca="false">כבלים!G8</f>
        <v>1700</v>
      </c>
      <c r="F27" s="14"/>
      <c r="G27" s="15" t="n">
        <f aca="false">E27*F27</f>
        <v>0</v>
      </c>
      <c r="H27" s="12" t="s">
        <v>59</v>
      </c>
    </row>
    <row r="28" customFormat="false" ht="15" hidden="false" customHeight="false" outlineLevel="0" collapsed="false">
      <c r="A28" s="10" t="n">
        <v>15</v>
      </c>
      <c r="B28" s="11" t="s">
        <v>60</v>
      </c>
      <c r="C28" s="12" t="s">
        <v>61</v>
      </c>
      <c r="D28" s="10" t="s">
        <v>58</v>
      </c>
      <c r="E28" s="13" t="n">
        <f aca="false">כבלים!G9</f>
        <v>750</v>
      </c>
      <c r="F28" s="14"/>
      <c r="G28" s="15" t="n">
        <f aca="false">E28*F28</f>
        <v>0</v>
      </c>
      <c r="H28" s="12" t="s">
        <v>59</v>
      </c>
    </row>
    <row r="29" customFormat="false" ht="15" hidden="false" customHeight="false" outlineLevel="0" collapsed="false">
      <c r="A29" s="10" t="n">
        <v>16</v>
      </c>
      <c r="B29" s="11" t="s">
        <v>62</v>
      </c>
      <c r="C29" s="12" t="s">
        <v>63</v>
      </c>
      <c r="D29" s="10" t="s">
        <v>58</v>
      </c>
      <c r="E29" s="13" t="n">
        <f aca="false">כבלים!G10</f>
        <v>130</v>
      </c>
      <c r="F29" s="14"/>
      <c r="G29" s="15" t="n">
        <f aca="false">E29*F29</f>
        <v>0</v>
      </c>
      <c r="H29" s="12" t="s">
        <v>59</v>
      </c>
    </row>
    <row r="31" customFormat="false" ht="15" hidden="false" customHeight="false" outlineLevel="0" collapsed="false">
      <c r="F31" s="4" t="s">
        <v>64</v>
      </c>
      <c r="G31" s="16" t="n">
        <f aca="false">SUM(G10:G29)</f>
        <v>0</v>
      </c>
    </row>
    <row r="32" customFormat="false" ht="15" hidden="false" customHeight="false" outlineLevel="0" collapsed="false">
      <c r="F32" s="4" t="s">
        <v>6</v>
      </c>
      <c r="G32" s="15" t="n">
        <f aca="false">G31*$C$6</f>
        <v>0</v>
      </c>
    </row>
    <row r="33" customFormat="false" ht="23.85" hidden="false" customHeight="false" outlineLevel="0" collapsed="false">
      <c r="F33" s="17" t="s">
        <v>65</v>
      </c>
      <c r="G33" s="16" t="n">
        <f aca="false">G31+G32</f>
        <v>0</v>
      </c>
    </row>
    <row r="34" customFormat="false" ht="15" hidden="false" customHeight="false" outlineLevel="0" collapsed="false">
      <c r="F34" s="4" t="s">
        <v>7</v>
      </c>
      <c r="G34" s="15" t="n">
        <f aca="false">G33*$C$7</f>
        <v>0</v>
      </c>
    </row>
    <row r="35" customFormat="false" ht="15" hidden="false" customHeight="false" outlineLevel="0" collapsed="false">
      <c r="F35" s="18" t="s">
        <v>66</v>
      </c>
      <c r="G35" s="19" t="n">
        <f aca="false">G33+G34</f>
        <v>0</v>
      </c>
    </row>
  </sheetData>
  <mergeCells count="5">
    <mergeCell ref="E5:H7"/>
    <mergeCell ref="A10:H10"/>
    <mergeCell ref="A15:H15"/>
    <mergeCell ref="A19:H19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20" t="s">
        <v>67</v>
      </c>
    </row>
    <row r="3" customFormat="false" ht="15" hidden="false" customHeight="false" outlineLevel="0" collapsed="false">
      <c r="A3" s="4" t="s">
        <v>68</v>
      </c>
      <c r="B3" s="21" t="n">
        <v>8</v>
      </c>
      <c r="C3" s="22" t="s">
        <v>69</v>
      </c>
    </row>
    <row r="5" customFormat="false" ht="15" hidden="false" customHeight="false" outlineLevel="0" collapsed="false">
      <c r="A5" s="8" t="s">
        <v>9</v>
      </c>
      <c r="B5" s="8" t="s">
        <v>10</v>
      </c>
      <c r="C5" s="8" t="s">
        <v>70</v>
      </c>
      <c r="D5" s="8" t="s">
        <v>71</v>
      </c>
      <c r="E5" s="8" t="s">
        <v>49</v>
      </c>
      <c r="F5" s="8" t="s">
        <v>14</v>
      </c>
    </row>
    <row r="6" customFormat="false" ht="15" hidden="false" customHeight="false" outlineLevel="0" collapsed="false">
      <c r="A6" s="9" t="s">
        <v>16</v>
      </c>
      <c r="B6" s="23"/>
      <c r="C6" s="23"/>
      <c r="D6" s="23"/>
      <c r="E6" s="23"/>
      <c r="F6" s="23"/>
    </row>
    <row r="7" customFormat="false" ht="15" hidden="false" customHeight="false" outlineLevel="0" collapsed="false">
      <c r="A7" s="11" t="s">
        <v>17</v>
      </c>
      <c r="B7" s="12" t="s">
        <v>18</v>
      </c>
      <c r="C7" s="24" t="n">
        <v>4</v>
      </c>
      <c r="D7" s="25" t="n">
        <f aca="false">$B$3</f>
        <v>8</v>
      </c>
      <c r="E7" s="24" t="n">
        <v>0</v>
      </c>
      <c r="F7" s="26" t="n">
        <f aca="false">C7*D7+E7</f>
        <v>32</v>
      </c>
    </row>
    <row r="8" customFormat="false" ht="15" hidden="false" customHeight="false" outlineLevel="0" collapsed="false">
      <c r="A8" s="11" t="s">
        <v>72</v>
      </c>
      <c r="B8" s="12" t="s">
        <v>73</v>
      </c>
      <c r="C8" s="24" t="n">
        <v>10</v>
      </c>
      <c r="D8" s="25" t="n">
        <f aca="false">$B$3</f>
        <v>8</v>
      </c>
      <c r="E8" s="24" t="n">
        <v>0</v>
      </c>
      <c r="F8" s="26" t="n">
        <f aca="false">C8*D8+E8</f>
        <v>80</v>
      </c>
    </row>
    <row r="9" customFormat="false" ht="15" hidden="false" customHeight="false" outlineLevel="0" collapsed="false">
      <c r="A9" s="11" t="s">
        <v>74</v>
      </c>
      <c r="B9" s="12" t="s">
        <v>75</v>
      </c>
      <c r="C9" s="24" t="n">
        <v>16</v>
      </c>
      <c r="D9" s="25" t="n">
        <f aca="false">$B$3</f>
        <v>8</v>
      </c>
      <c r="E9" s="24" t="n">
        <v>0</v>
      </c>
      <c r="F9" s="26" t="n">
        <f aca="false">C9*D9+E9</f>
        <v>128</v>
      </c>
    </row>
    <row r="10" customFormat="false" ht="15" hidden="false" customHeight="false" outlineLevel="0" collapsed="false">
      <c r="A10" s="11" t="s">
        <v>76</v>
      </c>
      <c r="B10" s="12" t="s">
        <v>77</v>
      </c>
      <c r="C10" s="24" t="n">
        <v>4</v>
      </c>
      <c r="D10" s="25" t="n">
        <f aca="false">$B$3</f>
        <v>8</v>
      </c>
      <c r="E10" s="24" t="n">
        <v>0</v>
      </c>
      <c r="F10" s="26" t="n">
        <f aca="false">C10*D10+E10</f>
        <v>32</v>
      </c>
    </row>
    <row r="11" customFormat="false" ht="15" hidden="false" customHeight="false" outlineLevel="0" collapsed="false">
      <c r="A11" s="9" t="s">
        <v>29</v>
      </c>
      <c r="B11" s="23"/>
      <c r="C11" s="23"/>
      <c r="D11" s="23"/>
      <c r="E11" s="23"/>
      <c r="F11" s="23"/>
    </row>
    <row r="12" customFormat="false" ht="15" hidden="false" customHeight="false" outlineLevel="0" collapsed="false">
      <c r="A12" s="11" t="s">
        <v>78</v>
      </c>
      <c r="B12" s="12" t="s">
        <v>79</v>
      </c>
      <c r="C12" s="24" t="n">
        <v>1</v>
      </c>
      <c r="D12" s="25" t="n">
        <f aca="false">$B$3</f>
        <v>8</v>
      </c>
      <c r="E12" s="24" t="n">
        <v>2</v>
      </c>
      <c r="F12" s="26" t="n">
        <f aca="false">C12*D12+E12</f>
        <v>10</v>
      </c>
    </row>
    <row r="13" customFormat="false" ht="15" hidden="false" customHeight="false" outlineLevel="0" collapsed="false">
      <c r="A13" s="11" t="s">
        <v>80</v>
      </c>
      <c r="B13" s="12" t="s">
        <v>81</v>
      </c>
      <c r="C13" s="24" t="n">
        <v>1</v>
      </c>
      <c r="D13" s="25" t="n">
        <f aca="false">$B$3</f>
        <v>8</v>
      </c>
      <c r="E13" s="24" t="n">
        <v>2</v>
      </c>
      <c r="F13" s="26" t="n">
        <f aca="false">C13*D13+E13</f>
        <v>10</v>
      </c>
    </row>
    <row r="14" customFormat="false" ht="15" hidden="false" customHeight="false" outlineLevel="0" collapsed="false">
      <c r="A14" s="11" t="s">
        <v>76</v>
      </c>
      <c r="B14" s="12" t="s">
        <v>82</v>
      </c>
      <c r="C14" s="24" t="n">
        <v>1</v>
      </c>
      <c r="D14" s="25" t="n">
        <f aca="false">$B$3</f>
        <v>8</v>
      </c>
      <c r="E14" s="24" t="n">
        <v>1</v>
      </c>
      <c r="F14" s="26" t="n">
        <f aca="false">C14*D14+E14</f>
        <v>9</v>
      </c>
    </row>
    <row r="15" customFormat="false" ht="15" hidden="false" customHeight="false" outlineLevel="0" collapsed="false">
      <c r="A15" s="9" t="s">
        <v>37</v>
      </c>
      <c r="B15" s="23"/>
      <c r="C15" s="23"/>
      <c r="D15" s="23"/>
      <c r="E15" s="23"/>
      <c r="F15" s="23"/>
    </row>
    <row r="16" customFormat="false" ht="15" hidden="false" customHeight="false" outlineLevel="0" collapsed="false">
      <c r="A16" s="11" t="s">
        <v>83</v>
      </c>
      <c r="B16" s="12" t="s">
        <v>84</v>
      </c>
      <c r="C16" s="24" t="n">
        <v>2</v>
      </c>
      <c r="D16" s="25" t="n">
        <f aca="false">$B$3</f>
        <v>8</v>
      </c>
      <c r="E16" s="24" t="n">
        <v>1</v>
      </c>
      <c r="F16" s="26" t="n">
        <f aca="false">C16*D16+E16</f>
        <v>17</v>
      </c>
    </row>
    <row r="17" customFormat="false" ht="15" hidden="false" customHeight="false" outlineLevel="0" collapsed="false">
      <c r="A17" s="11" t="s">
        <v>85</v>
      </c>
      <c r="B17" s="12" t="s">
        <v>86</v>
      </c>
      <c r="C17" s="24" t="n">
        <v>1</v>
      </c>
      <c r="D17" s="25" t="n">
        <f aca="false">$B$3</f>
        <v>8</v>
      </c>
      <c r="E17" s="24" t="n">
        <v>1</v>
      </c>
      <c r="F17" s="26" t="n">
        <f aca="false">C17*D17+E17</f>
        <v>9</v>
      </c>
    </row>
    <row r="18" customFormat="false" ht="15" hidden="false" customHeight="false" outlineLevel="0" collapsed="false">
      <c r="A18" s="11" t="s">
        <v>44</v>
      </c>
      <c r="B18" s="12" t="s">
        <v>45</v>
      </c>
      <c r="C18" s="24" t="n">
        <v>1</v>
      </c>
      <c r="D18" s="25" t="n">
        <f aca="false">$B$3</f>
        <v>8</v>
      </c>
      <c r="E18" s="24" t="n">
        <v>0</v>
      </c>
      <c r="F18" s="26" t="n">
        <f aca="false">C18*D18+E18</f>
        <v>8</v>
      </c>
    </row>
    <row r="19" customFormat="false" ht="15" hidden="false" customHeight="false" outlineLevel="0" collapsed="false">
      <c r="A19" s="11" t="s">
        <v>47</v>
      </c>
      <c r="B19" s="12" t="s">
        <v>48</v>
      </c>
      <c r="C19" s="24" t="n">
        <v>0</v>
      </c>
      <c r="D19" s="25" t="n">
        <f aca="false">$B$3</f>
        <v>8</v>
      </c>
      <c r="E19" s="24" t="n">
        <v>1</v>
      </c>
      <c r="F19" s="26" t="n">
        <f aca="false">C19*D19+E19</f>
        <v>1</v>
      </c>
    </row>
    <row r="20" customFormat="false" ht="15" hidden="false" customHeight="false" outlineLevel="0" collapsed="false">
      <c r="A20" s="11" t="s">
        <v>87</v>
      </c>
      <c r="B20" s="12" t="s">
        <v>88</v>
      </c>
      <c r="C20" s="24" t="n">
        <v>0</v>
      </c>
      <c r="D20" s="25" t="n">
        <f aca="false">$B$3</f>
        <v>8</v>
      </c>
      <c r="E20" s="24" t="n">
        <v>1</v>
      </c>
      <c r="F20" s="26" t="n">
        <f aca="false">C20*D20+E20</f>
        <v>1</v>
      </c>
    </row>
    <row r="21" customFormat="false" ht="15" hidden="false" customHeight="false" outlineLevel="0" collapsed="false">
      <c r="A21" s="11" t="s">
        <v>89</v>
      </c>
      <c r="B21" s="12" t="s">
        <v>90</v>
      </c>
      <c r="C21" s="24" t="n">
        <v>0</v>
      </c>
      <c r="D21" s="25" t="n">
        <f aca="false">$B$3</f>
        <v>8</v>
      </c>
      <c r="E21" s="24" t="n">
        <v>1</v>
      </c>
      <c r="F21" s="26" t="n">
        <f aca="false">C21*D21+E21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20" t="s">
        <v>91</v>
      </c>
    </row>
    <row r="3" customFormat="false" ht="15" hidden="false" customHeight="false" outlineLevel="0" collapsed="false">
      <c r="A3" s="4" t="s">
        <v>92</v>
      </c>
      <c r="B3" s="7" t="n">
        <v>0.15</v>
      </c>
    </row>
    <row r="4" customFormat="false" ht="15" hidden="false" customHeight="false" outlineLevel="0" collapsed="false">
      <c r="A4" s="4" t="s">
        <v>93</v>
      </c>
      <c r="B4" s="27" t="n">
        <v>10</v>
      </c>
    </row>
    <row r="5" customFormat="false" ht="15" hidden="false" customHeight="false" outlineLevel="0" collapsed="false">
      <c r="A5" s="4" t="s">
        <v>68</v>
      </c>
      <c r="B5" s="28" t="n">
        <f aca="false">'כמויות לפי קומה'!$B$3</f>
        <v>8</v>
      </c>
    </row>
    <row r="7" customFormat="false" ht="30" hidden="false" customHeight="true" outlineLevel="0" collapsed="false">
      <c r="A7" s="29" t="s">
        <v>9</v>
      </c>
      <c r="B7" s="29" t="s">
        <v>10</v>
      </c>
      <c r="C7" s="29" t="s">
        <v>94</v>
      </c>
      <c r="D7" s="29" t="s">
        <v>95</v>
      </c>
      <c r="E7" s="29" t="s">
        <v>96</v>
      </c>
      <c r="F7" s="29" t="s">
        <v>92</v>
      </c>
      <c r="G7" s="29" t="s">
        <v>97</v>
      </c>
    </row>
    <row r="8" customFormat="false" ht="15" hidden="false" customHeight="false" outlineLevel="0" collapsed="false">
      <c r="A8" s="11" t="s">
        <v>56</v>
      </c>
      <c r="B8" s="12" t="s">
        <v>57</v>
      </c>
      <c r="C8" s="30" t="n">
        <v>183.1</v>
      </c>
      <c r="D8" s="30" t="n">
        <v>13.2</v>
      </c>
      <c r="E8" s="30" t="n">
        <v>0</v>
      </c>
      <c r="F8" s="31" t="n">
        <f aca="false">$B$3</f>
        <v>0.15</v>
      </c>
      <c r="G8" s="26" t="n">
        <f aca="false">ROUNDUP((C8*$B$5+D8+E8)*(1+F8)/$B$4,0)*$B$4</f>
        <v>1700</v>
      </c>
    </row>
    <row r="9" customFormat="false" ht="15" hidden="false" customHeight="false" outlineLevel="0" collapsed="false">
      <c r="A9" s="11" t="s">
        <v>60</v>
      </c>
      <c r="B9" s="12" t="s">
        <v>61</v>
      </c>
      <c r="C9" s="30" t="n">
        <v>79.9</v>
      </c>
      <c r="D9" s="30" t="n">
        <v>11.5</v>
      </c>
      <c r="E9" s="30" t="n">
        <v>0</v>
      </c>
      <c r="F9" s="31" t="n">
        <f aca="false">$B$3</f>
        <v>0.15</v>
      </c>
      <c r="G9" s="26" t="n">
        <f aca="false">ROUNDUP((C9*$B$5+D9+E9)*(1+F9)/$B$4,0)*$B$4</f>
        <v>750</v>
      </c>
    </row>
    <row r="10" customFormat="false" ht="15" hidden="false" customHeight="false" outlineLevel="0" collapsed="false">
      <c r="A10" s="11" t="s">
        <v>62</v>
      </c>
      <c r="B10" s="12" t="s">
        <v>63</v>
      </c>
      <c r="C10" s="30" t="n">
        <v>7.4</v>
      </c>
      <c r="D10" s="30" t="n">
        <v>23.6</v>
      </c>
      <c r="E10" s="30" t="n">
        <v>28.8</v>
      </c>
      <c r="F10" s="31" t="n">
        <f aca="false">$B$3</f>
        <v>0.15</v>
      </c>
      <c r="G10" s="26" t="n">
        <f aca="false">ROUNDUP((C10*$B$5+D10+E10)*(1+F10)/$B$4,0)*$B$4</f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0" t="s">
        <v>98</v>
      </c>
    </row>
    <row r="3" customFormat="false" ht="15" hidden="false" customHeight="false" outlineLevel="0" collapsed="false">
      <c r="A3" s="32" t="s">
        <v>99</v>
      </c>
    </row>
    <row r="4" customFormat="false" ht="15" hidden="false" customHeight="false" outlineLevel="0" collapsed="false">
      <c r="A4" s="32" t="s">
        <v>100</v>
      </c>
    </row>
    <row r="5" customFormat="false" ht="15" hidden="false" customHeight="false" outlineLevel="0" collapsed="false">
      <c r="A5" s="32" t="s">
        <v>101</v>
      </c>
    </row>
    <row r="6" customFormat="false" ht="15" hidden="false" customHeight="false" outlineLevel="0" collapsed="false">
      <c r="A6" s="32" t="s">
        <v>102</v>
      </c>
    </row>
    <row r="7" customFormat="false" ht="15" hidden="false" customHeight="false" outlineLevel="0" collapsed="false">
      <c r="A7" s="3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2026-10-23T08:08:35Z</dcterms:created>
  <dc:creator>openpyxl</dc:creator>
  <dc:description/>
  <dc:language>en-US</dc:language>
  <cp:lastModifiedBy/>
  <dcterms:modified xsi:type="dcterms:W3CDTF">2026-10-23T08:08:35Z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