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  <sheet name="Quantities per level" sheetId="2" state="visible" r:id="rId4"/>
    <sheet name="Cables" sheetId="3" state="visible" r:id="rId5"/>
    <sheet name="Notes" sheetId="4" state="visible" r:id="rId6"/>
  </sheets>
  <definedNames>
    <definedName function="false" hidden="false" localSheetId="0" name="_xlnm.Print_Titles" vbProcedure="false">BOQ!$9:$9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Assumption: 5 % contingency. Adjust.</t>
        </r>
      </text>
    </comment>
    <comment ref="C7" authorId="0">
      <text>
        <r>
          <rPr>
            <sz val="10"/>
            <rFont val="Arial"/>
            <family val="2"/>
          </rPr>
          <t xml:space="preserve">Israel VAT 18 % (since 01/2025). Set 0 % if not applicable.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Riser: 9 runs × 3.2 m (floor height).</t>
        </r>
      </text>
    </comment>
  </commentList>
</comments>
</file>

<file path=xl/sharedStrings.xml><?xml version="1.0" encoding="utf-8"?>
<sst xmlns="http://schemas.openxmlformats.org/spreadsheetml/2006/main" count="198" uniqueCount="138">
  <si>
    <t xml:space="preserve">BOQ – BILL OF QUANTITIES AND BUDGET</t>
  </si>
  <si>
    <t xml:space="preserve">Migdalei Yam a Tijon – Assisted living · 8 floors + GF · 32 apartments</t>
  </si>
  <si>
    <t xml:space="preserve">Client: ACE BG · Advantecnia      Date: 23/10/2026</t>
  </si>
  <si>
    <t xml:space="preserve">Currency</t>
  </si>
  <si>
    <t xml:space="preserve">₪ ILS</t>
  </si>
  <si>
    <t xml:space="preserve">Yellow cells = fill in (unit prices). Blue text = inputs; black = formulas; green = link to another sheet.</t>
  </si>
  <si>
    <t xml:space="preserve">Contingency</t>
  </si>
  <si>
    <t xml:space="preserve">VAT (Israel)</t>
  </si>
  <si>
    <t xml:space="preserve">#</t>
  </si>
  <si>
    <t xml:space="preserve">Code</t>
  </si>
  <si>
    <t xml:space="preserve">Description</t>
  </si>
  <si>
    <t xml:space="preserve">Unit</t>
  </si>
  <si>
    <t xml:space="preserve">Qty</t>
  </si>
  <si>
    <t xml:space="preserve">Unit price</t>
  </si>
  <si>
    <t xml:space="preserve">Total</t>
  </si>
  <si>
    <t xml:space="preserve">Remark</t>
  </si>
  <si>
    <t xml:space="preserve">IN THE APARTMENTS (4 per floor)</t>
  </si>
  <si>
    <t xml:space="preserve">TAB</t>
  </si>
  <si>
    <t xml:space="preserve">Door tablet (iPad / Android) – call and voice</t>
  </si>
  <si>
    <t xml:space="preserve">pcs</t>
  </si>
  <si>
    <t xml:space="preserve">1 per apartment</t>
  </si>
  <si>
    <t xml:space="preserve">ACE82182451</t>
  </si>
  <si>
    <t xml:space="preserve">Voice call panel with buttons</t>
  </si>
  <si>
    <t xml:space="preserve">living room + each bedroom</t>
  </si>
  <si>
    <t xml:space="preserve">ACE40320303W</t>
  </si>
  <si>
    <t xml:space="preserve">Bathroom pull-cord (toilet and shower)</t>
  </si>
  <si>
    <t xml:space="preserve">4 per apartment</t>
  </si>
  <si>
    <t xml:space="preserve">ACE71610003</t>
  </si>
  <si>
    <t xml:space="preserve">LCom – apartment radial hub (ceiling)</t>
  </si>
  <si>
    <t xml:space="preserve">Subtotal</t>
  </si>
  <si>
    <t xml:space="preserve">PUBLIC TOILETS</t>
  </si>
  <si>
    <t xml:space="preserve">Bathroom pull-cord</t>
  </si>
  <si>
    <t xml:space="preserve">1 per floor + 2 on GF</t>
  </si>
  <si>
    <t xml:space="preserve">ACE41020309</t>
  </si>
  <si>
    <t xml:space="preserve">Corridor light above the door</t>
  </si>
  <si>
    <t xml:space="preserve">above each door</t>
  </si>
  <si>
    <t xml:space="preserve">LCom – hub (ceiling)</t>
  </si>
  <si>
    <t xml:space="preserve">1 per floor + 1 on GF</t>
  </si>
  <si>
    <t xml:space="preserve">RACKS AND HEAD-END</t>
  </si>
  <si>
    <t xml:space="preserve">ACE70810000</t>
  </si>
  <si>
    <t xml:space="preserve">BoxCom – bus hub (ceiling)</t>
  </si>
  <si>
    <t xml:space="preserve">2 per floor + 1 on GF</t>
  </si>
  <si>
    <t xml:space="preserve">DES-1210-28P</t>
  </si>
  <si>
    <t xml:space="preserve">D-Link DES-1210-28P 24-port PoE switch</t>
  </si>
  <si>
    <t xml:space="preserve">1 per floor + GF</t>
  </si>
  <si>
    <t xml:space="preserve">GAB</t>
  </si>
  <si>
    <t xml:space="preserve">12U wall rack with patch panel</t>
  </si>
  <si>
    <t xml:space="preserve">1 per floor</t>
  </si>
  <si>
    <t xml:space="preserve">GAB-PB</t>
  </si>
  <si>
    <t xml:space="preserve">Main rack with UPS</t>
  </si>
  <si>
    <t xml:space="preserve">ground floor</t>
  </si>
  <si>
    <t xml:space="preserve">Buslogic Premium</t>
  </si>
  <si>
    <t xml:space="preserve">Buslogic Premium server (Advantcare) with software</t>
  </si>
  <si>
    <t xml:space="preserve">Grandstream</t>
  </si>
  <si>
    <t xml:space="preserve">Grandstream Android PoE phone (colour per call type)</t>
  </si>
  <si>
    <t xml:space="preserve">nurse desk</t>
  </si>
  <si>
    <t xml:space="preserve">CABLING (model lengths + reserve, see Cables sheet)</t>
  </si>
  <si>
    <t xml:space="preserve">APT</t>
  </si>
  <si>
    <t xml:space="preserve">Cat6 radial inside the apartments (green)</t>
  </si>
  <si>
    <t xml:space="preserve">m</t>
  </si>
  <si>
    <t xml:space="preserve">model length + reserve</t>
  </si>
  <si>
    <t xml:space="preserve">CHAIN</t>
  </si>
  <si>
    <t xml:space="preserve">Cat6 / Cat7 chain LCom → BoxCom (orange)</t>
  </si>
  <si>
    <t xml:space="preserve">NET</t>
  </si>
  <si>
    <t xml:space="preserve">Cat6A / Cat7 racks and riser (red)</t>
  </si>
  <si>
    <t xml:space="preserve">INSTALLATION</t>
  </si>
  <si>
    <t xml:space="preserve">INS-EQ</t>
  </si>
  <si>
    <t xml:space="preserve">Mounting and connection of devices (panels, lights, pull-cords, PCB/LCom/BoxCom, tablets)</t>
  </si>
  <si>
    <t xml:space="preserve">sum of all devices</t>
  </si>
  <si>
    <t xml:space="preserve">INS-CAB</t>
  </si>
  <si>
    <t xml:space="preserve">Cable pulling in tray / ceiling, conduit and labelling</t>
  </si>
  <si>
    <t xml:space="preserve">sum of all cabling</t>
  </si>
  <si>
    <t xml:space="preserve">INS-RACK</t>
  </si>
  <si>
    <t xml:space="preserve">Rack assembly: switch, server, patch panel, UPS</t>
  </si>
  <si>
    <t xml:space="preserve">lot</t>
  </si>
  <si>
    <t xml:space="preserve">INS-PRG</t>
  </si>
  <si>
    <t xml:space="preserve">Programming, commissioning and testing of every call point</t>
  </si>
  <si>
    <t xml:space="preserve">INS-ASB</t>
  </si>
  <si>
    <t xml:space="preserve">As-built drawings and handover protocol</t>
  </si>
  <si>
    <t xml:space="preserve">TRAINING</t>
  </si>
  <si>
    <t xml:space="preserve">TR-USR</t>
  </si>
  <si>
    <t xml:space="preserve">Training for nursing / reception staff (daily use)</t>
  </si>
  <si>
    <t xml:space="preserve">session</t>
  </si>
  <si>
    <t xml:space="preserve">per shift</t>
  </si>
  <si>
    <t xml:space="preserve">TR-TEC</t>
  </si>
  <si>
    <t xml:space="preserve">Technical training for maintenance / IT</t>
  </si>
  <si>
    <t xml:space="preserve">TR-DOC</t>
  </si>
  <si>
    <t xml:space="preserve">User and technical manuals (ES / EN / HE)</t>
  </si>
  <si>
    <t xml:space="preserve">WARRANTY AND SERVICE</t>
  </si>
  <si>
    <t xml:space="preserve">GAR-EQ</t>
  </si>
  <si>
    <t xml:space="preserve">Equipment warranty</t>
  </si>
  <si>
    <t xml:space="preserve">year</t>
  </si>
  <si>
    <t xml:space="preserve">as per manufacturer</t>
  </si>
  <si>
    <t xml:space="preserve">GAR-INS</t>
  </si>
  <si>
    <t xml:space="preserve">Installation and workmanship warranty</t>
  </si>
  <si>
    <t xml:space="preserve">MNT</t>
  </si>
  <si>
    <t xml:space="preserve">Preventive maintenance and technical support (optional)</t>
  </si>
  <si>
    <t xml:space="preserve">optional</t>
  </si>
  <si>
    <t xml:space="preserve">Subtotal incl. contingency</t>
  </si>
  <si>
    <t xml:space="preserve">TOTAL INCL. VAT</t>
  </si>
  <si>
    <t xml:space="preserve">Quantities per level</t>
  </si>
  <si>
    <t xml:space="preserve">Typical floors</t>
  </si>
  <si>
    <t xml:space="preserve">← change if the number of floors changes</t>
  </si>
  <si>
    <t xml:space="preserve">Per typical floor</t>
  </si>
  <si>
    <t xml:space="preserve">Floors</t>
  </si>
  <si>
    <t xml:space="preserve">Ground floor</t>
  </si>
  <si>
    <t xml:space="preserve">VOZ</t>
  </si>
  <si>
    <t xml:space="preserve">Voice call panel with buttons – ACE82182451</t>
  </si>
  <si>
    <t xml:space="preserve">TI/TD</t>
  </si>
  <si>
    <t xml:space="preserve">Bathroom pull-cord (toilet and shower) – ACE40320303W</t>
  </si>
  <si>
    <t xml:space="preserve">LC</t>
  </si>
  <si>
    <t xml:space="preserve">LCom – apartment radial hub (ceiling) – ACE71610003</t>
  </si>
  <si>
    <t xml:space="preserve">T</t>
  </si>
  <si>
    <t xml:space="preserve">Bathroom pull-cord – ACE40320303W</t>
  </si>
  <si>
    <t xml:space="preserve">LP</t>
  </si>
  <si>
    <t xml:space="preserve">Corridor light above the door – ACE41020309</t>
  </si>
  <si>
    <t xml:space="preserve">LCom – hub (ceiling) – ACE71610003</t>
  </si>
  <si>
    <t xml:space="preserve">BC</t>
  </si>
  <si>
    <t xml:space="preserve">BoxCom – bus hub (ceiling) – ACE70810000</t>
  </si>
  <si>
    <t xml:space="preserve">SW</t>
  </si>
  <si>
    <t xml:space="preserve">D-Link DES-1210-28P 24-port PoE switch – DES-1210-28P</t>
  </si>
  <si>
    <t xml:space="preserve">SRV</t>
  </si>
  <si>
    <t xml:space="preserve">Buslogic Premium server (Advantcare) with software – Buslogic Premium</t>
  </si>
  <si>
    <t xml:space="preserve">TEL</t>
  </si>
  <si>
    <t xml:space="preserve">Grandstream Android PoE phone (colour per call type) – Grandstream</t>
  </si>
  <si>
    <t xml:space="preserve">Cables</t>
  </si>
  <si>
    <t xml:space="preserve">Reserve</t>
  </si>
  <si>
    <t xml:space="preserve">Round up to</t>
  </si>
  <si>
    <t xml:space="preserve">Calculated per floor (m)</t>
  </si>
  <si>
    <t xml:space="preserve">Calculated GF (m)</t>
  </si>
  <si>
    <t xml:space="preserve">Fixed extra (m)</t>
  </si>
  <si>
    <t xml:space="preserve">Qty to buy (m)</t>
  </si>
  <si>
    <t xml:space="preserve">Notes</t>
  </si>
  <si>
    <t xml:space="preserve">1. Quantities taken from the project's 3D/2D model (typical floor × floors + ground floor).</t>
  </si>
  <si>
    <t xml:space="preserve">2. Cable lengths measured along the drawn routes; reserve and rounding are set in the Cables sheet.</t>
  </si>
  <si>
    <t xml:space="preserve">3. Unit prices: fill in from the current Advantecnia / supplier price list (yellow cells).</t>
  </si>
  <si>
    <t xml:space="preserve">4. 5 % contingency and 18 % VAT are editable assumptions (BOQ sheet, cells C6 and C7).</t>
  </si>
  <si>
    <t xml:space="preserve">5. Preliminary quantities: verify on site before purchasing.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</si>
</sst>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#,##0;\(#,##0\);\-"/>
    <numFmt numFmtId="167" formatCode="#,##0.00;\(#,##0.00\);\-"/>
    <numFmt numFmtId="168" formatCode="0"/>
    <numFmt numFmtId="169" formatCode="0&quot; m&quot;"/>
    <numFmt numFmtId="170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1"/>
        <bgColor rgb="FFF1F3F5"/>
      </patternFill>
    </fill>
    <fill>
      <patternFill patternType="solid">
        <fgColor rgb="FFF1F3F5"/>
        <bgColor rgb="FFE8ECF1"/>
      </patternFill>
    </fill>
    <fill>
      <patternFill patternType="solid">
        <fgColor rgb="FFFBE9DD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B5" s="4" t="s">
        <v>3</v>
      </c>
      <c r="C5" s="5" t="s">
        <v>4</v>
      </c>
      <c r="E5" s="6" t="s">
        <v>5</v>
      </c>
      <c r="F5" s="6"/>
      <c r="G5" s="6"/>
      <c r="H5" s="6"/>
    </row>
    <row r="6" customFormat="false" ht="15" hidden="false" customHeight="false" outlineLevel="0" collapsed="false">
      <c r="B6" s="4" t="s">
        <v>6</v>
      </c>
      <c r="C6" s="7" t="n">
        <v>0.05</v>
      </c>
      <c r="E6" s="6"/>
      <c r="F6" s="6"/>
      <c r="G6" s="6"/>
      <c r="H6" s="6"/>
    </row>
    <row r="7" customFormat="false" ht="15" hidden="false" customHeight="false" outlineLevel="0" collapsed="false">
      <c r="B7" s="4" t="s">
        <v>7</v>
      </c>
      <c r="C7" s="7" t="n">
        <v>0.18</v>
      </c>
      <c r="E7" s="6"/>
      <c r="F7" s="6"/>
      <c r="G7" s="6"/>
      <c r="H7" s="6"/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customFormat="false" ht="15" hidden="false" customHeight="false" outlineLevel="0" collapsed="false">
      <c r="A10" s="9" t="s">
        <v>16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0" t="n">
        <v>1</v>
      </c>
      <c r="B11" s="11" t="s">
        <v>17</v>
      </c>
      <c r="C11" s="12" t="s">
        <v>18</v>
      </c>
      <c r="D11" s="10" t="s">
        <v>19</v>
      </c>
      <c r="E11" s="13" t="n">
        <f aca="false">'Quantities per level'!F7</f>
        <v>32</v>
      </c>
      <c r="F11" s="14"/>
      <c r="G11" s="15" t="n">
        <f aca="false">E11*F11</f>
        <v>0</v>
      </c>
      <c r="H11" s="12" t="s">
        <v>20</v>
      </c>
    </row>
    <row r="12" customFormat="false" ht="15" hidden="false" customHeight="false" outlineLevel="0" collapsed="false">
      <c r="A12" s="10" t="n">
        <v>2</v>
      </c>
      <c r="B12" s="11" t="s">
        <v>21</v>
      </c>
      <c r="C12" s="12" t="s">
        <v>22</v>
      </c>
      <c r="D12" s="10" t="s">
        <v>19</v>
      </c>
      <c r="E12" s="13" t="n">
        <f aca="false">'Quantities per level'!F8</f>
        <v>80</v>
      </c>
      <c r="F12" s="14"/>
      <c r="G12" s="15" t="n">
        <f aca="false">E12*F12</f>
        <v>0</v>
      </c>
      <c r="H12" s="12" t="s">
        <v>23</v>
      </c>
    </row>
    <row r="13" customFormat="false" ht="15" hidden="false" customHeight="false" outlineLevel="0" collapsed="false">
      <c r="A13" s="10" t="n">
        <v>3</v>
      </c>
      <c r="B13" s="11" t="s">
        <v>24</v>
      </c>
      <c r="C13" s="12" t="s">
        <v>25</v>
      </c>
      <c r="D13" s="10" t="s">
        <v>19</v>
      </c>
      <c r="E13" s="13" t="n">
        <f aca="false">'Quantities per level'!F9</f>
        <v>128</v>
      </c>
      <c r="F13" s="14"/>
      <c r="G13" s="15" t="n">
        <f aca="false">E13*F13</f>
        <v>0</v>
      </c>
      <c r="H13" s="12" t="s">
        <v>26</v>
      </c>
    </row>
    <row r="14" customFormat="false" ht="15" hidden="false" customHeight="false" outlineLevel="0" collapsed="false">
      <c r="A14" s="10" t="n">
        <v>4</v>
      </c>
      <c r="B14" s="11" t="s">
        <v>27</v>
      </c>
      <c r="C14" s="12" t="s">
        <v>28</v>
      </c>
      <c r="D14" s="10" t="s">
        <v>19</v>
      </c>
      <c r="E14" s="13" t="n">
        <f aca="false">'Quantities per level'!F10</f>
        <v>32</v>
      </c>
      <c r="F14" s="14"/>
      <c r="G14" s="15" t="n">
        <f aca="false">E14*F14</f>
        <v>0</v>
      </c>
      <c r="H14" s="12" t="s">
        <v>20</v>
      </c>
    </row>
    <row r="15" customFormat="false" ht="15" hidden="false" customHeight="false" outlineLevel="0" collapsed="false">
      <c r="F15" s="16" t="s">
        <v>29</v>
      </c>
      <c r="G15" s="17" t="n">
        <f aca="false">SUM(G11:G14)</f>
        <v>0</v>
      </c>
    </row>
    <row r="17" customFormat="false" ht="15" hidden="false" customHeight="false" outlineLevel="0" collapsed="false">
      <c r="A17" s="9" t="s">
        <v>30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10" t="n">
        <v>5</v>
      </c>
      <c r="B18" s="11" t="s">
        <v>24</v>
      </c>
      <c r="C18" s="12" t="s">
        <v>31</v>
      </c>
      <c r="D18" s="10" t="s">
        <v>19</v>
      </c>
      <c r="E18" s="13" t="n">
        <f aca="false">'Quantities per level'!F12</f>
        <v>10</v>
      </c>
      <c r="F18" s="14"/>
      <c r="G18" s="15" t="n">
        <f aca="false">E18*F18</f>
        <v>0</v>
      </c>
      <c r="H18" s="12" t="s">
        <v>32</v>
      </c>
    </row>
    <row r="19" customFormat="false" ht="15" hidden="false" customHeight="false" outlineLevel="0" collapsed="false">
      <c r="A19" s="10" t="n">
        <v>6</v>
      </c>
      <c r="B19" s="11" t="s">
        <v>33</v>
      </c>
      <c r="C19" s="12" t="s">
        <v>34</v>
      </c>
      <c r="D19" s="10" t="s">
        <v>19</v>
      </c>
      <c r="E19" s="13" t="n">
        <f aca="false">'Quantities per level'!F13</f>
        <v>10</v>
      </c>
      <c r="F19" s="14"/>
      <c r="G19" s="15" t="n">
        <f aca="false">E19*F19</f>
        <v>0</v>
      </c>
      <c r="H19" s="12" t="s">
        <v>35</v>
      </c>
    </row>
    <row r="20" customFormat="false" ht="15" hidden="false" customHeight="false" outlineLevel="0" collapsed="false">
      <c r="A20" s="10" t="n">
        <v>7</v>
      </c>
      <c r="B20" s="11" t="s">
        <v>27</v>
      </c>
      <c r="C20" s="12" t="s">
        <v>36</v>
      </c>
      <c r="D20" s="10" t="s">
        <v>19</v>
      </c>
      <c r="E20" s="13" t="n">
        <f aca="false">'Quantities per level'!F14</f>
        <v>9</v>
      </c>
      <c r="F20" s="14"/>
      <c r="G20" s="15" t="n">
        <f aca="false">E20*F20</f>
        <v>0</v>
      </c>
      <c r="H20" s="12" t="s">
        <v>37</v>
      </c>
    </row>
    <row r="21" customFormat="false" ht="15" hidden="false" customHeight="false" outlineLevel="0" collapsed="false">
      <c r="F21" s="16" t="s">
        <v>29</v>
      </c>
      <c r="G21" s="17" t="n">
        <f aca="false">SUM(G18:G20)</f>
        <v>0</v>
      </c>
    </row>
    <row r="23" customFormat="false" ht="15" hidden="false" customHeight="false" outlineLevel="0" collapsed="false">
      <c r="A23" s="9" t="s">
        <v>38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10" t="n">
        <v>8</v>
      </c>
      <c r="B24" s="11" t="s">
        <v>39</v>
      </c>
      <c r="C24" s="12" t="s">
        <v>40</v>
      </c>
      <c r="D24" s="10" t="s">
        <v>19</v>
      </c>
      <c r="E24" s="13" t="n">
        <f aca="false">'Quantities per level'!F16</f>
        <v>17</v>
      </c>
      <c r="F24" s="14"/>
      <c r="G24" s="15" t="n">
        <f aca="false">E24*F24</f>
        <v>0</v>
      </c>
      <c r="H24" s="12" t="s">
        <v>41</v>
      </c>
    </row>
    <row r="25" customFormat="false" ht="15" hidden="false" customHeight="false" outlineLevel="0" collapsed="false">
      <c r="A25" s="10" t="n">
        <v>9</v>
      </c>
      <c r="B25" s="11" t="s">
        <v>42</v>
      </c>
      <c r="C25" s="12" t="s">
        <v>43</v>
      </c>
      <c r="D25" s="10" t="s">
        <v>19</v>
      </c>
      <c r="E25" s="13" t="n">
        <f aca="false">'Quantities per level'!F17</f>
        <v>9</v>
      </c>
      <c r="F25" s="14"/>
      <c r="G25" s="15" t="n">
        <f aca="false">E25*F25</f>
        <v>0</v>
      </c>
      <c r="H25" s="12" t="s">
        <v>44</v>
      </c>
    </row>
    <row r="26" customFormat="false" ht="15" hidden="false" customHeight="false" outlineLevel="0" collapsed="false">
      <c r="A26" s="10" t="n">
        <v>10</v>
      </c>
      <c r="B26" s="11" t="s">
        <v>45</v>
      </c>
      <c r="C26" s="12" t="s">
        <v>46</v>
      </c>
      <c r="D26" s="10" t="s">
        <v>19</v>
      </c>
      <c r="E26" s="13" t="n">
        <f aca="false">'Quantities per level'!F18</f>
        <v>8</v>
      </c>
      <c r="F26" s="14"/>
      <c r="G26" s="15" t="n">
        <f aca="false">E26*F26</f>
        <v>0</v>
      </c>
      <c r="H26" s="12" t="s">
        <v>47</v>
      </c>
    </row>
    <row r="27" customFormat="false" ht="15" hidden="false" customHeight="false" outlineLevel="0" collapsed="false">
      <c r="A27" s="10" t="n">
        <v>11</v>
      </c>
      <c r="B27" s="11" t="s">
        <v>48</v>
      </c>
      <c r="C27" s="12" t="s">
        <v>49</v>
      </c>
      <c r="D27" s="10" t="s">
        <v>19</v>
      </c>
      <c r="E27" s="13" t="n">
        <f aca="false">'Quantities per level'!F19</f>
        <v>1</v>
      </c>
      <c r="F27" s="14"/>
      <c r="G27" s="15" t="n">
        <f aca="false">E27*F27</f>
        <v>0</v>
      </c>
      <c r="H27" s="12" t="s">
        <v>50</v>
      </c>
    </row>
    <row r="28" customFormat="false" ht="15" hidden="false" customHeight="false" outlineLevel="0" collapsed="false">
      <c r="A28" s="10" t="n">
        <v>12</v>
      </c>
      <c r="B28" s="11" t="s">
        <v>51</v>
      </c>
      <c r="C28" s="12" t="s">
        <v>52</v>
      </c>
      <c r="D28" s="10" t="s">
        <v>19</v>
      </c>
      <c r="E28" s="13" t="n">
        <f aca="false">'Quantities per level'!F20</f>
        <v>1</v>
      </c>
      <c r="F28" s="14"/>
      <c r="G28" s="15" t="n">
        <f aca="false">E28*F28</f>
        <v>0</v>
      </c>
      <c r="H28" s="12" t="s">
        <v>50</v>
      </c>
    </row>
    <row r="29" customFormat="false" ht="15" hidden="false" customHeight="false" outlineLevel="0" collapsed="false">
      <c r="A29" s="10" t="n">
        <v>13</v>
      </c>
      <c r="B29" s="11" t="s">
        <v>53</v>
      </c>
      <c r="C29" s="12" t="s">
        <v>54</v>
      </c>
      <c r="D29" s="10" t="s">
        <v>19</v>
      </c>
      <c r="E29" s="13" t="n">
        <f aca="false">'Quantities per level'!F21</f>
        <v>1</v>
      </c>
      <c r="F29" s="14"/>
      <c r="G29" s="15" t="n">
        <f aca="false">E29*F29</f>
        <v>0</v>
      </c>
      <c r="H29" s="12" t="s">
        <v>55</v>
      </c>
    </row>
    <row r="30" customFormat="false" ht="15" hidden="false" customHeight="false" outlineLevel="0" collapsed="false">
      <c r="F30" s="16" t="s">
        <v>29</v>
      </c>
      <c r="G30" s="17" t="n">
        <f aca="false">SUM(G24:G29)</f>
        <v>0</v>
      </c>
    </row>
    <row r="32" customFormat="false" ht="15" hidden="false" customHeight="false" outlineLevel="0" collapsed="false">
      <c r="A32" s="9" t="s">
        <v>56</v>
      </c>
      <c r="B32" s="9"/>
      <c r="C32" s="9"/>
      <c r="D32" s="9"/>
      <c r="E32" s="9"/>
      <c r="F32" s="9"/>
      <c r="G32" s="9"/>
      <c r="H32" s="9"/>
    </row>
    <row r="33" customFormat="false" ht="15" hidden="false" customHeight="false" outlineLevel="0" collapsed="false">
      <c r="A33" s="10" t="n">
        <v>14</v>
      </c>
      <c r="B33" s="11" t="s">
        <v>57</v>
      </c>
      <c r="C33" s="12" t="s">
        <v>58</v>
      </c>
      <c r="D33" s="10" t="s">
        <v>59</v>
      </c>
      <c r="E33" s="13" t="n">
        <f aca="false">Cables!G8</f>
        <v>1700</v>
      </c>
      <c r="F33" s="14"/>
      <c r="G33" s="15" t="n">
        <f aca="false">E33*F33</f>
        <v>0</v>
      </c>
      <c r="H33" s="12" t="s">
        <v>60</v>
      </c>
    </row>
    <row r="34" customFormat="false" ht="15" hidden="false" customHeight="false" outlineLevel="0" collapsed="false">
      <c r="A34" s="10" t="n">
        <v>15</v>
      </c>
      <c r="B34" s="11" t="s">
        <v>61</v>
      </c>
      <c r="C34" s="12" t="s">
        <v>62</v>
      </c>
      <c r="D34" s="10" t="s">
        <v>59</v>
      </c>
      <c r="E34" s="13" t="n">
        <f aca="false">Cables!G9</f>
        <v>750</v>
      </c>
      <c r="F34" s="14"/>
      <c r="G34" s="15" t="n">
        <f aca="false">E34*F34</f>
        <v>0</v>
      </c>
      <c r="H34" s="12" t="s">
        <v>60</v>
      </c>
    </row>
    <row r="35" customFormat="false" ht="15" hidden="false" customHeight="false" outlineLevel="0" collapsed="false">
      <c r="A35" s="10" t="n">
        <v>16</v>
      </c>
      <c r="B35" s="11" t="s">
        <v>63</v>
      </c>
      <c r="C35" s="12" t="s">
        <v>64</v>
      </c>
      <c r="D35" s="10" t="s">
        <v>59</v>
      </c>
      <c r="E35" s="13" t="n">
        <f aca="false">Cables!G10</f>
        <v>130</v>
      </c>
      <c r="F35" s="14"/>
      <c r="G35" s="15" t="n">
        <f aca="false">E35*F35</f>
        <v>0</v>
      </c>
      <c r="H35" s="12" t="s">
        <v>60</v>
      </c>
    </row>
    <row r="36" customFormat="false" ht="15" hidden="false" customHeight="false" outlineLevel="0" collapsed="false">
      <c r="F36" s="16" t="s">
        <v>29</v>
      </c>
      <c r="G36" s="17" t="n">
        <f aca="false">SUM(G33:G35)</f>
        <v>0</v>
      </c>
    </row>
    <row r="38" customFormat="false" ht="15" hidden="false" customHeight="false" outlineLevel="0" collapsed="false">
      <c r="A38" s="9" t="s">
        <v>65</v>
      </c>
      <c r="B38" s="9"/>
      <c r="C38" s="9"/>
      <c r="D38" s="9"/>
      <c r="E38" s="9"/>
      <c r="F38" s="9"/>
      <c r="G38" s="9"/>
      <c r="H38" s="9"/>
    </row>
    <row r="39" customFormat="false" ht="23.85" hidden="false" customHeight="false" outlineLevel="0" collapsed="false">
      <c r="A39" s="10" t="n">
        <v>17</v>
      </c>
      <c r="B39" s="11" t="s">
        <v>66</v>
      </c>
      <c r="C39" s="12" t="s">
        <v>67</v>
      </c>
      <c r="D39" s="10" t="s">
        <v>19</v>
      </c>
      <c r="E39" s="18" t="n">
        <f aca="false">E11+E12+E13+E14+E18+E19+E20+E24+E29</f>
        <v>319</v>
      </c>
      <c r="F39" s="14"/>
      <c r="G39" s="15" t="n">
        <f aca="false">E39*F39</f>
        <v>0</v>
      </c>
      <c r="H39" s="12" t="s">
        <v>68</v>
      </c>
    </row>
    <row r="40" customFormat="false" ht="15" hidden="false" customHeight="false" outlineLevel="0" collapsed="false">
      <c r="A40" s="10" t="n">
        <v>18</v>
      </c>
      <c r="B40" s="11" t="s">
        <v>69</v>
      </c>
      <c r="C40" s="12" t="s">
        <v>70</v>
      </c>
      <c r="D40" s="10" t="s">
        <v>59</v>
      </c>
      <c r="E40" s="18" t="n">
        <f aca="false">E33+E34+E35</f>
        <v>2580</v>
      </c>
      <c r="F40" s="14"/>
      <c r="G40" s="15" t="n">
        <f aca="false">E40*F40</f>
        <v>0</v>
      </c>
      <c r="H40" s="12" t="s">
        <v>71</v>
      </c>
    </row>
    <row r="41" customFormat="false" ht="15" hidden="false" customHeight="false" outlineLevel="0" collapsed="false">
      <c r="A41" s="10" t="n">
        <v>19</v>
      </c>
      <c r="B41" s="11" t="s">
        <v>72</v>
      </c>
      <c r="C41" s="12" t="s">
        <v>73</v>
      </c>
      <c r="D41" s="10" t="s">
        <v>74</v>
      </c>
      <c r="E41" s="19" t="n">
        <v>1</v>
      </c>
      <c r="F41" s="14"/>
      <c r="G41" s="15" t="n">
        <f aca="false">E41*F41</f>
        <v>0</v>
      </c>
      <c r="H41" s="12"/>
    </row>
    <row r="42" customFormat="false" ht="15" hidden="false" customHeight="false" outlineLevel="0" collapsed="false">
      <c r="A42" s="10" t="n">
        <v>20</v>
      </c>
      <c r="B42" s="11" t="s">
        <v>75</v>
      </c>
      <c r="C42" s="12" t="s">
        <v>76</v>
      </c>
      <c r="D42" s="10" t="s">
        <v>74</v>
      </c>
      <c r="E42" s="19" t="n">
        <v>1</v>
      </c>
      <c r="F42" s="14"/>
      <c r="G42" s="15" t="n">
        <f aca="false">E42*F42</f>
        <v>0</v>
      </c>
      <c r="H42" s="12"/>
    </row>
    <row r="43" customFormat="false" ht="15" hidden="false" customHeight="false" outlineLevel="0" collapsed="false">
      <c r="A43" s="10" t="n">
        <v>21</v>
      </c>
      <c r="B43" s="11" t="s">
        <v>77</v>
      </c>
      <c r="C43" s="12" t="s">
        <v>78</v>
      </c>
      <c r="D43" s="10" t="s">
        <v>74</v>
      </c>
      <c r="E43" s="19" t="n">
        <v>1</v>
      </c>
      <c r="F43" s="14"/>
      <c r="G43" s="15" t="n">
        <f aca="false">E43*F43</f>
        <v>0</v>
      </c>
      <c r="H43" s="12"/>
    </row>
    <row r="44" customFormat="false" ht="15" hidden="false" customHeight="false" outlineLevel="0" collapsed="false">
      <c r="F44" s="16" t="s">
        <v>29</v>
      </c>
      <c r="G44" s="17" t="n">
        <f aca="false">SUM(G39:G43)</f>
        <v>0</v>
      </c>
    </row>
    <row r="46" customFormat="false" ht="15" hidden="false" customHeight="false" outlineLevel="0" collapsed="false">
      <c r="A46" s="9" t="s">
        <v>79</v>
      </c>
      <c r="B46" s="9"/>
      <c r="C46" s="9"/>
      <c r="D46" s="9"/>
      <c r="E46" s="9"/>
      <c r="F46" s="9"/>
      <c r="G46" s="9"/>
      <c r="H46" s="9"/>
    </row>
    <row r="47" customFormat="false" ht="15" hidden="false" customHeight="false" outlineLevel="0" collapsed="false">
      <c r="A47" s="10" t="n">
        <v>22</v>
      </c>
      <c r="B47" s="11" t="s">
        <v>80</v>
      </c>
      <c r="C47" s="12" t="s">
        <v>81</v>
      </c>
      <c r="D47" s="10" t="s">
        <v>82</v>
      </c>
      <c r="E47" s="19" t="n">
        <v>2</v>
      </c>
      <c r="F47" s="14"/>
      <c r="G47" s="15" t="n">
        <f aca="false">E47*F47</f>
        <v>0</v>
      </c>
      <c r="H47" s="12" t="s">
        <v>83</v>
      </c>
    </row>
    <row r="48" customFormat="false" ht="15" hidden="false" customHeight="false" outlineLevel="0" collapsed="false">
      <c r="A48" s="10" t="n">
        <v>23</v>
      </c>
      <c r="B48" s="11" t="s">
        <v>84</v>
      </c>
      <c r="C48" s="12" t="s">
        <v>85</v>
      </c>
      <c r="D48" s="10" t="s">
        <v>82</v>
      </c>
      <c r="E48" s="19" t="n">
        <v>1</v>
      </c>
      <c r="F48" s="14"/>
      <c r="G48" s="15" t="n">
        <f aca="false">E48*F48</f>
        <v>0</v>
      </c>
      <c r="H48" s="12"/>
    </row>
    <row r="49" customFormat="false" ht="15" hidden="false" customHeight="false" outlineLevel="0" collapsed="false">
      <c r="A49" s="10" t="n">
        <v>24</v>
      </c>
      <c r="B49" s="11" t="s">
        <v>86</v>
      </c>
      <c r="C49" s="12" t="s">
        <v>87</v>
      </c>
      <c r="D49" s="10" t="s">
        <v>74</v>
      </c>
      <c r="E49" s="19" t="n">
        <v>1</v>
      </c>
      <c r="F49" s="14"/>
      <c r="G49" s="15" t="n">
        <f aca="false">E49*F49</f>
        <v>0</v>
      </c>
      <c r="H49" s="12"/>
    </row>
    <row r="50" customFormat="false" ht="15" hidden="false" customHeight="false" outlineLevel="0" collapsed="false">
      <c r="F50" s="16" t="s">
        <v>29</v>
      </c>
      <c r="G50" s="17" t="n">
        <f aca="false">SUM(G47:G49)</f>
        <v>0</v>
      </c>
    </row>
    <row r="52" customFormat="false" ht="15" hidden="false" customHeight="false" outlineLevel="0" collapsed="false">
      <c r="A52" s="9" t="s">
        <v>88</v>
      </c>
      <c r="B52" s="9"/>
      <c r="C52" s="9"/>
      <c r="D52" s="9"/>
      <c r="E52" s="9"/>
      <c r="F52" s="9"/>
      <c r="G52" s="9"/>
      <c r="H52" s="9"/>
    </row>
    <row r="53" customFormat="false" ht="15" hidden="false" customHeight="false" outlineLevel="0" collapsed="false">
      <c r="A53" s="10" t="n">
        <v>25</v>
      </c>
      <c r="B53" s="11" t="s">
        <v>89</v>
      </c>
      <c r="C53" s="12" t="s">
        <v>90</v>
      </c>
      <c r="D53" s="10" t="s">
        <v>91</v>
      </c>
      <c r="E53" s="19" t="n">
        <v>1</v>
      </c>
      <c r="F53" s="14"/>
      <c r="G53" s="15" t="n">
        <f aca="false">E53*F53</f>
        <v>0</v>
      </c>
      <c r="H53" s="12" t="s">
        <v>92</v>
      </c>
    </row>
    <row r="54" customFormat="false" ht="15" hidden="false" customHeight="false" outlineLevel="0" collapsed="false">
      <c r="A54" s="10" t="n">
        <v>26</v>
      </c>
      <c r="B54" s="11" t="s">
        <v>93</v>
      </c>
      <c r="C54" s="12" t="s">
        <v>94</v>
      </c>
      <c r="D54" s="10" t="s">
        <v>91</v>
      </c>
      <c r="E54" s="19" t="n">
        <v>1</v>
      </c>
      <c r="F54" s="14"/>
      <c r="G54" s="15" t="n">
        <f aca="false">E54*F54</f>
        <v>0</v>
      </c>
      <c r="H54" s="12"/>
    </row>
    <row r="55" customFormat="false" ht="15" hidden="false" customHeight="false" outlineLevel="0" collapsed="false">
      <c r="A55" s="10" t="n">
        <v>27</v>
      </c>
      <c r="B55" s="11" t="s">
        <v>95</v>
      </c>
      <c r="C55" s="12" t="s">
        <v>96</v>
      </c>
      <c r="D55" s="10" t="s">
        <v>91</v>
      </c>
      <c r="E55" s="19" t="n">
        <v>1</v>
      </c>
      <c r="F55" s="14"/>
      <c r="G55" s="15" t="n">
        <f aca="false">E55*F55</f>
        <v>0</v>
      </c>
      <c r="H55" s="12" t="s">
        <v>97</v>
      </c>
    </row>
    <row r="56" customFormat="false" ht="15" hidden="false" customHeight="false" outlineLevel="0" collapsed="false">
      <c r="F56" s="16" t="s">
        <v>29</v>
      </c>
      <c r="G56" s="17" t="n">
        <f aca="false">SUM(G53:G55)</f>
        <v>0</v>
      </c>
    </row>
    <row r="58" customFormat="false" ht="15" hidden="false" customHeight="false" outlineLevel="0" collapsed="false">
      <c r="F58" s="4" t="s">
        <v>29</v>
      </c>
      <c r="G58" s="17" t="n">
        <f aca="false">G15+G21+G30+G36+G44+G50+G56</f>
        <v>0</v>
      </c>
    </row>
    <row r="59" customFormat="false" ht="15" hidden="false" customHeight="false" outlineLevel="0" collapsed="false">
      <c r="F59" s="4" t="s">
        <v>6</v>
      </c>
      <c r="G59" s="15" t="n">
        <f aca="false">G58*$C$6</f>
        <v>0</v>
      </c>
    </row>
    <row r="60" customFormat="false" ht="23.85" hidden="false" customHeight="false" outlineLevel="0" collapsed="false">
      <c r="F60" s="20" t="s">
        <v>98</v>
      </c>
      <c r="G60" s="17" t="n">
        <f aca="false">G58+G59</f>
        <v>0</v>
      </c>
    </row>
    <row r="61" customFormat="false" ht="15" hidden="false" customHeight="false" outlineLevel="0" collapsed="false">
      <c r="F61" s="4" t="s">
        <v>7</v>
      </c>
      <c r="G61" s="15" t="n">
        <f aca="false">G60*$C$7</f>
        <v>0</v>
      </c>
    </row>
    <row r="62" customFormat="false" ht="15" hidden="false" customHeight="false" outlineLevel="0" collapsed="false">
      <c r="F62" s="21" t="s">
        <v>99</v>
      </c>
      <c r="G62" s="22" t="n">
        <f aca="false">G60+G61</f>
        <v>0</v>
      </c>
    </row>
  </sheetData>
  <mergeCells count="8">
    <mergeCell ref="E5:H7"/>
    <mergeCell ref="A10:H10"/>
    <mergeCell ref="A17:H17"/>
    <mergeCell ref="A23:H23"/>
    <mergeCell ref="A32:H32"/>
    <mergeCell ref="A38:H38"/>
    <mergeCell ref="A46:H46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23" t="s">
        <v>100</v>
      </c>
    </row>
    <row r="3" customFormat="false" ht="15" hidden="false" customHeight="false" outlineLevel="0" collapsed="false">
      <c r="A3" s="4" t="s">
        <v>101</v>
      </c>
      <c r="B3" s="24" t="n">
        <v>8</v>
      </c>
      <c r="C3" s="25" t="s">
        <v>102</v>
      </c>
    </row>
    <row r="5" customFormat="false" ht="15" hidden="false" customHeight="false" outlineLevel="0" collapsed="false">
      <c r="A5" s="8" t="s">
        <v>9</v>
      </c>
      <c r="B5" s="8" t="s">
        <v>10</v>
      </c>
      <c r="C5" s="8" t="s">
        <v>103</v>
      </c>
      <c r="D5" s="8" t="s">
        <v>104</v>
      </c>
      <c r="E5" s="8" t="s">
        <v>105</v>
      </c>
      <c r="F5" s="8" t="s">
        <v>14</v>
      </c>
    </row>
    <row r="6" customFormat="false" ht="15" hidden="false" customHeight="false" outlineLevel="0" collapsed="false">
      <c r="A6" s="9" t="s">
        <v>16</v>
      </c>
      <c r="B6" s="26"/>
      <c r="C6" s="26"/>
      <c r="D6" s="26"/>
      <c r="E6" s="26"/>
      <c r="F6" s="26"/>
    </row>
    <row r="7" customFormat="false" ht="15" hidden="false" customHeight="false" outlineLevel="0" collapsed="false">
      <c r="A7" s="11" t="s">
        <v>17</v>
      </c>
      <c r="B7" s="12" t="s">
        <v>18</v>
      </c>
      <c r="C7" s="19" t="n">
        <v>4</v>
      </c>
      <c r="D7" s="27" t="n">
        <f aca="false">$B$3</f>
        <v>8</v>
      </c>
      <c r="E7" s="19" t="n">
        <v>0</v>
      </c>
      <c r="F7" s="28" t="n">
        <f aca="false">C7*D7+E7</f>
        <v>32</v>
      </c>
    </row>
    <row r="8" customFormat="false" ht="15" hidden="false" customHeight="false" outlineLevel="0" collapsed="false">
      <c r="A8" s="11" t="s">
        <v>106</v>
      </c>
      <c r="B8" s="12" t="s">
        <v>107</v>
      </c>
      <c r="C8" s="19" t="n">
        <v>10</v>
      </c>
      <c r="D8" s="27" t="n">
        <f aca="false">$B$3</f>
        <v>8</v>
      </c>
      <c r="E8" s="19" t="n">
        <v>0</v>
      </c>
      <c r="F8" s="28" t="n">
        <f aca="false">C8*D8+E8</f>
        <v>80</v>
      </c>
    </row>
    <row r="9" customFormat="false" ht="15" hidden="false" customHeight="false" outlineLevel="0" collapsed="false">
      <c r="A9" s="11" t="s">
        <v>108</v>
      </c>
      <c r="B9" s="12" t="s">
        <v>109</v>
      </c>
      <c r="C9" s="19" t="n">
        <v>16</v>
      </c>
      <c r="D9" s="27" t="n">
        <f aca="false">$B$3</f>
        <v>8</v>
      </c>
      <c r="E9" s="19" t="n">
        <v>0</v>
      </c>
      <c r="F9" s="28" t="n">
        <f aca="false">C9*D9+E9</f>
        <v>128</v>
      </c>
    </row>
    <row r="10" customFormat="false" ht="15" hidden="false" customHeight="false" outlineLevel="0" collapsed="false">
      <c r="A10" s="11" t="s">
        <v>110</v>
      </c>
      <c r="B10" s="12" t="s">
        <v>111</v>
      </c>
      <c r="C10" s="19" t="n">
        <v>4</v>
      </c>
      <c r="D10" s="27" t="n">
        <f aca="false">$B$3</f>
        <v>8</v>
      </c>
      <c r="E10" s="19" t="n">
        <v>0</v>
      </c>
      <c r="F10" s="28" t="n">
        <f aca="false">C10*D10+E10</f>
        <v>32</v>
      </c>
    </row>
    <row r="11" customFormat="false" ht="15" hidden="false" customHeight="false" outlineLevel="0" collapsed="false">
      <c r="A11" s="9" t="s">
        <v>30</v>
      </c>
      <c r="B11" s="26"/>
      <c r="C11" s="26"/>
      <c r="D11" s="26"/>
      <c r="E11" s="26"/>
      <c r="F11" s="26"/>
    </row>
    <row r="12" customFormat="false" ht="15" hidden="false" customHeight="false" outlineLevel="0" collapsed="false">
      <c r="A12" s="11" t="s">
        <v>112</v>
      </c>
      <c r="B12" s="12" t="s">
        <v>113</v>
      </c>
      <c r="C12" s="19" t="n">
        <v>1</v>
      </c>
      <c r="D12" s="27" t="n">
        <f aca="false">$B$3</f>
        <v>8</v>
      </c>
      <c r="E12" s="19" t="n">
        <v>2</v>
      </c>
      <c r="F12" s="28" t="n">
        <f aca="false">C12*D12+E12</f>
        <v>10</v>
      </c>
    </row>
    <row r="13" customFormat="false" ht="15" hidden="false" customHeight="false" outlineLevel="0" collapsed="false">
      <c r="A13" s="11" t="s">
        <v>114</v>
      </c>
      <c r="B13" s="12" t="s">
        <v>115</v>
      </c>
      <c r="C13" s="19" t="n">
        <v>1</v>
      </c>
      <c r="D13" s="27" t="n">
        <f aca="false">$B$3</f>
        <v>8</v>
      </c>
      <c r="E13" s="19" t="n">
        <v>2</v>
      </c>
      <c r="F13" s="28" t="n">
        <f aca="false">C13*D13+E13</f>
        <v>10</v>
      </c>
    </row>
    <row r="14" customFormat="false" ht="15" hidden="false" customHeight="false" outlineLevel="0" collapsed="false">
      <c r="A14" s="11" t="s">
        <v>110</v>
      </c>
      <c r="B14" s="12" t="s">
        <v>116</v>
      </c>
      <c r="C14" s="19" t="n">
        <v>1</v>
      </c>
      <c r="D14" s="27" t="n">
        <f aca="false">$B$3</f>
        <v>8</v>
      </c>
      <c r="E14" s="19" t="n">
        <v>1</v>
      </c>
      <c r="F14" s="28" t="n">
        <f aca="false">C14*D14+E14</f>
        <v>9</v>
      </c>
    </row>
    <row r="15" customFormat="false" ht="15" hidden="false" customHeight="false" outlineLevel="0" collapsed="false">
      <c r="A15" s="9" t="s">
        <v>38</v>
      </c>
      <c r="B15" s="26"/>
      <c r="C15" s="26"/>
      <c r="D15" s="26"/>
      <c r="E15" s="26"/>
      <c r="F15" s="26"/>
    </row>
    <row r="16" customFormat="false" ht="15" hidden="false" customHeight="false" outlineLevel="0" collapsed="false">
      <c r="A16" s="11" t="s">
        <v>117</v>
      </c>
      <c r="B16" s="12" t="s">
        <v>118</v>
      </c>
      <c r="C16" s="19" t="n">
        <v>2</v>
      </c>
      <c r="D16" s="27" t="n">
        <f aca="false">$B$3</f>
        <v>8</v>
      </c>
      <c r="E16" s="19" t="n">
        <v>1</v>
      </c>
      <c r="F16" s="28" t="n">
        <f aca="false">C16*D16+E16</f>
        <v>17</v>
      </c>
    </row>
    <row r="17" customFormat="false" ht="15" hidden="false" customHeight="false" outlineLevel="0" collapsed="false">
      <c r="A17" s="11" t="s">
        <v>119</v>
      </c>
      <c r="B17" s="12" t="s">
        <v>120</v>
      </c>
      <c r="C17" s="19" t="n">
        <v>1</v>
      </c>
      <c r="D17" s="27" t="n">
        <f aca="false">$B$3</f>
        <v>8</v>
      </c>
      <c r="E17" s="19" t="n">
        <v>1</v>
      </c>
      <c r="F17" s="28" t="n">
        <f aca="false">C17*D17+E17</f>
        <v>9</v>
      </c>
    </row>
    <row r="18" customFormat="false" ht="15" hidden="false" customHeight="false" outlineLevel="0" collapsed="false">
      <c r="A18" s="11" t="s">
        <v>45</v>
      </c>
      <c r="B18" s="12" t="s">
        <v>46</v>
      </c>
      <c r="C18" s="19" t="n">
        <v>1</v>
      </c>
      <c r="D18" s="27" t="n">
        <f aca="false">$B$3</f>
        <v>8</v>
      </c>
      <c r="E18" s="19" t="n">
        <v>0</v>
      </c>
      <c r="F18" s="28" t="n">
        <f aca="false">C18*D18+E18</f>
        <v>8</v>
      </c>
    </row>
    <row r="19" customFormat="false" ht="15" hidden="false" customHeight="false" outlineLevel="0" collapsed="false">
      <c r="A19" s="11" t="s">
        <v>48</v>
      </c>
      <c r="B19" s="12" t="s">
        <v>49</v>
      </c>
      <c r="C19" s="19" t="n">
        <v>0</v>
      </c>
      <c r="D19" s="27" t="n">
        <f aca="false">$B$3</f>
        <v>8</v>
      </c>
      <c r="E19" s="19" t="n">
        <v>1</v>
      </c>
      <c r="F19" s="28" t="n">
        <f aca="false">C19*D19+E19</f>
        <v>1</v>
      </c>
    </row>
    <row r="20" customFormat="false" ht="15" hidden="false" customHeight="false" outlineLevel="0" collapsed="false">
      <c r="A20" s="11" t="s">
        <v>121</v>
      </c>
      <c r="B20" s="12" t="s">
        <v>122</v>
      </c>
      <c r="C20" s="19" t="n">
        <v>0</v>
      </c>
      <c r="D20" s="27" t="n">
        <f aca="false">$B$3</f>
        <v>8</v>
      </c>
      <c r="E20" s="19" t="n">
        <v>1</v>
      </c>
      <c r="F20" s="28" t="n">
        <f aca="false">C20*D20+E20</f>
        <v>1</v>
      </c>
    </row>
    <row r="21" customFormat="false" ht="15" hidden="false" customHeight="false" outlineLevel="0" collapsed="false">
      <c r="A21" s="11" t="s">
        <v>123</v>
      </c>
      <c r="B21" s="12" t="s">
        <v>124</v>
      </c>
      <c r="C21" s="19" t="n">
        <v>0</v>
      </c>
      <c r="D21" s="27" t="n">
        <f aca="false">$B$3</f>
        <v>8</v>
      </c>
      <c r="E21" s="19" t="n">
        <v>1</v>
      </c>
      <c r="F21" s="28" t="n">
        <f aca="false">C21*D21+E21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23" t="s">
        <v>125</v>
      </c>
    </row>
    <row r="3" customFormat="false" ht="15" hidden="false" customHeight="false" outlineLevel="0" collapsed="false">
      <c r="A3" s="4" t="s">
        <v>126</v>
      </c>
      <c r="B3" s="7" t="n">
        <v>0.15</v>
      </c>
    </row>
    <row r="4" customFormat="false" ht="15" hidden="false" customHeight="false" outlineLevel="0" collapsed="false">
      <c r="A4" s="4" t="s">
        <v>127</v>
      </c>
      <c r="B4" s="29" t="n">
        <v>10</v>
      </c>
    </row>
    <row r="5" customFormat="false" ht="15" hidden="false" customHeight="false" outlineLevel="0" collapsed="false">
      <c r="A5" s="4" t="s">
        <v>101</v>
      </c>
      <c r="B5" s="30" t="n">
        <f aca="false">'Quantities per level'!$B$3</f>
        <v>8</v>
      </c>
    </row>
    <row r="7" customFormat="false" ht="30" hidden="false" customHeight="true" outlineLevel="0" collapsed="false">
      <c r="A7" s="31" t="s">
        <v>9</v>
      </c>
      <c r="B7" s="31" t="s">
        <v>10</v>
      </c>
      <c r="C7" s="31" t="s">
        <v>128</v>
      </c>
      <c r="D7" s="31" t="s">
        <v>129</v>
      </c>
      <c r="E7" s="31" t="s">
        <v>130</v>
      </c>
      <c r="F7" s="31" t="s">
        <v>126</v>
      </c>
      <c r="G7" s="31" t="s">
        <v>131</v>
      </c>
    </row>
    <row r="8" customFormat="false" ht="15" hidden="false" customHeight="false" outlineLevel="0" collapsed="false">
      <c r="A8" s="11" t="s">
        <v>57</v>
      </c>
      <c r="B8" s="12" t="s">
        <v>58</v>
      </c>
      <c r="C8" s="32" t="n">
        <v>183.1</v>
      </c>
      <c r="D8" s="32" t="n">
        <v>13.2</v>
      </c>
      <c r="E8" s="32" t="n">
        <v>0</v>
      </c>
      <c r="F8" s="33" t="n">
        <f aca="false">$B$3</f>
        <v>0.15</v>
      </c>
      <c r="G8" s="28" t="n">
        <f aca="false">ROUNDUP((C8*$B$5+D8+E8)*(1+F8)/$B$4,0)*$B$4</f>
        <v>1700</v>
      </c>
    </row>
    <row r="9" customFormat="false" ht="15" hidden="false" customHeight="false" outlineLevel="0" collapsed="false">
      <c r="A9" s="11" t="s">
        <v>61</v>
      </c>
      <c r="B9" s="12" t="s">
        <v>62</v>
      </c>
      <c r="C9" s="32" t="n">
        <v>79.9</v>
      </c>
      <c r="D9" s="32" t="n">
        <v>11.5</v>
      </c>
      <c r="E9" s="32" t="n">
        <v>0</v>
      </c>
      <c r="F9" s="33" t="n">
        <f aca="false">$B$3</f>
        <v>0.15</v>
      </c>
      <c r="G9" s="28" t="n">
        <f aca="false">ROUNDUP((C9*$B$5+D9+E9)*(1+F9)/$B$4,0)*$B$4</f>
        <v>750</v>
      </c>
    </row>
    <row r="10" customFormat="false" ht="15" hidden="false" customHeight="false" outlineLevel="0" collapsed="false">
      <c r="A10" s="11" t="s">
        <v>63</v>
      </c>
      <c r="B10" s="12" t="s">
        <v>64</v>
      </c>
      <c r="C10" s="32" t="n">
        <v>7.4</v>
      </c>
      <c r="D10" s="32" t="n">
        <v>23.6</v>
      </c>
      <c r="E10" s="32" t="n">
        <v>28.8</v>
      </c>
      <c r="F10" s="33" t="n">
        <f aca="false">$B$3</f>
        <v>0.15</v>
      </c>
      <c r="G10" s="28" t="n">
        <f aca="false">ROUNDUP((C10*$B$5+D10+E10)*(1+F10)/$B$4,0)*$B$4</f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3" t="s">
        <v>132</v>
      </c>
    </row>
    <row r="3" customFormat="false" ht="15" hidden="false" customHeight="false" outlineLevel="0" collapsed="false">
      <c r="A3" s="34" t="s">
        <v>133</v>
      </c>
    </row>
    <row r="4" customFormat="false" ht="15" hidden="false" customHeight="false" outlineLevel="0" collapsed="false">
      <c r="A4" s="34" t="s">
        <v>134</v>
      </c>
    </row>
    <row r="5" customFormat="false" ht="15" hidden="false" customHeight="false" outlineLevel="0" collapsed="false">
      <c r="A5" s="34" t="s">
        <v>135</v>
      </c>
    </row>
    <row r="6" customFormat="false" ht="15" hidden="false" customHeight="false" outlineLevel="0" collapsed="false">
      <c r="A6" s="34" t="s">
        <v>136</v>
      </c>
    </row>
    <row r="7" customFormat="false" ht="15" hidden="false" customHeight="false" outlineLevel="0" collapsed="false">
      <c r="A7" s="34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2026-10-23T08:25:59Z</dcterms:created>
  <dc:creator>openpyxl</dc:creator>
  <dc:description/>
  <dc:language>en-US</dc:language>
  <cp:lastModifiedBy/>
  <dcterms:modified xsi:type="dcterms:W3CDTF">2026-10-23T08:25:59Z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