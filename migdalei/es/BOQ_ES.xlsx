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" sheetId="1" state="visible" r:id="rId3"/>
    <sheet name="Cantidades por nivel" sheetId="2" state="visible" r:id="rId4"/>
    <sheet name="Cables" sheetId="3" state="visible" r:id="rId5"/>
    <sheet name="Notas" sheetId="4" state="visible" r:id="rId6"/>
  </sheets>
  <definedNames>
    <definedName function="false" hidden="false" localSheetId="0" name="_xlnm.Print_Titles" vbProcedure="false">BOQ!$9:$9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Supuesto: 5 % de imprevistos. Ajustar.</t>
        </r>
      </text>
    </comment>
    <comment ref="C7" authorId="0">
      <text>
        <r>
          <rPr>
            <sz val="10"/>
            <rFont val="Arial"/>
            <family val="2"/>
          </rPr>
          <t xml:space="preserve">IVA Israel 18 % (vigente desde 01/2025). Poner 0 % si no aplica.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Montante: 9 tramos × 3,2 m (altura de piso).</t>
        </r>
      </text>
    </comment>
  </commentList>
</comments>
</file>

<file path=xl/sharedStrings.xml><?xml version="1.0" encoding="utf-8"?>
<sst xmlns="http://schemas.openxmlformats.org/spreadsheetml/2006/main" count="282" uniqueCount="178">
  <si>
    <t xml:space="preserve">BOQ – LISTA DE CANTIDADES Y PRESUPUESTO</t>
  </si>
  <si>
    <t xml:space="preserve">Migdalei Yam a Tijon – Vivienda tutelada · 8 pisos + PB · 32 departamentos</t>
  </si>
  <si>
    <t xml:space="preserve">Cliente: ACE BG · Advantecnia      Fecha: 24/10/2026</t>
  </si>
  <si>
    <t xml:space="preserve">Moneda</t>
  </si>
  <si>
    <t xml:space="preserve">₪ ILS</t>
  </si>
  <si>
    <t xml:space="preserve">Celdas amarillas = completar (precios unitarios). Texto azul = datos de entrada; negro = fórmulas; verde = vínculo a otra hoja.</t>
  </si>
  <si>
    <t xml:space="preserve">Imprevistos</t>
  </si>
  <si>
    <t xml:space="preserve">IVA (Israel)</t>
  </si>
  <si>
    <t xml:space="preserve">#</t>
  </si>
  <si>
    <t xml:space="preserve">Código</t>
  </si>
  <si>
    <t xml:space="preserve">Descripción</t>
  </si>
  <si>
    <t xml:space="preserve">Unidad</t>
  </si>
  <si>
    <t xml:space="preserve">Cantidad</t>
  </si>
  <si>
    <t xml:space="preserve">Precio unitario</t>
  </si>
  <si>
    <t xml:space="preserve">Total</t>
  </si>
  <si>
    <t xml:space="preserve">Observación</t>
  </si>
  <si>
    <t xml:space="preserve">EN LOS DEPARTAMENTOS (4 por piso)</t>
  </si>
  <si>
    <t xml:space="preserve">TAB</t>
  </si>
  <si>
    <t xml:space="preserve">Tablet de la puerta (iPad / Android) – llamada y voz</t>
  </si>
  <si>
    <t xml:space="preserve">u</t>
  </si>
  <si>
    <t xml:space="preserve">1 por departamento</t>
  </si>
  <si>
    <t xml:space="preserve">ACE82182451</t>
  </si>
  <si>
    <t xml:space="preserve">Panel de llamada con voz y botones</t>
  </si>
  <si>
    <t xml:space="preserve">salón + cada dormitorio</t>
  </si>
  <si>
    <t xml:space="preserve">ACE40320303W</t>
  </si>
  <si>
    <t xml:space="preserve">Tirador de baño (inodoro y ducha)</t>
  </si>
  <si>
    <t xml:space="preserve">4 por departamento</t>
  </si>
  <si>
    <t xml:space="preserve">ACE71610003</t>
  </si>
  <si>
    <t xml:space="preserve">LCom – concentrador radial del departamento (techo)</t>
  </si>
  <si>
    <t xml:space="preserve">Subtotal</t>
  </si>
  <si>
    <t xml:space="preserve">BAÑOS PÚBLICOS</t>
  </si>
  <si>
    <t xml:space="preserve">Tirador de baño</t>
  </si>
  <si>
    <t xml:space="preserve">1 por piso + 2 en PB</t>
  </si>
  <si>
    <t xml:space="preserve">ACE41020309</t>
  </si>
  <si>
    <t xml:space="preserve">Luz de pasillo sobre la puerta</t>
  </si>
  <si>
    <t xml:space="preserve">sobre cada puerta</t>
  </si>
  <si>
    <t xml:space="preserve">LCom – concentrador (techo)</t>
  </si>
  <si>
    <t xml:space="preserve">1 por piso + 1 en PB</t>
  </si>
  <si>
    <t xml:space="preserve">GABINETES Y CENTRAL</t>
  </si>
  <si>
    <t xml:space="preserve">ACE70810000</t>
  </si>
  <si>
    <t xml:space="preserve">BoxCom – concentrador en bus (techo)</t>
  </si>
  <si>
    <t xml:space="preserve">2 por piso + 1 en PB</t>
  </si>
  <si>
    <t xml:space="preserve">DES-1210-28P</t>
  </si>
  <si>
    <t xml:space="preserve">Switch PoE 24 puertos D-Link DES-1210-28P</t>
  </si>
  <si>
    <t xml:space="preserve">1 por piso + PB</t>
  </si>
  <si>
    <t xml:space="preserve">GAB</t>
  </si>
  <si>
    <t xml:space="preserve">Gabinete mural 12U con patch panel</t>
  </si>
  <si>
    <t xml:space="preserve">1 por piso</t>
  </si>
  <si>
    <t xml:space="preserve">GAB-PB</t>
  </si>
  <si>
    <t xml:space="preserve">Gabinete principal con UPS</t>
  </si>
  <si>
    <t xml:space="preserve">planta baja</t>
  </si>
  <si>
    <t xml:space="preserve">Buslogic Premium</t>
  </si>
  <si>
    <t xml:space="preserve">Servidor Buslogic Premium (Advantcare) con software</t>
  </si>
  <si>
    <t xml:space="preserve">Grandstream</t>
  </si>
  <si>
    <t xml:space="preserve">Teléfono Grandstream Android PoE (colores por tipo de llamada)</t>
  </si>
  <si>
    <t xml:space="preserve">desk de enfermería</t>
  </si>
  <si>
    <t xml:space="preserve">OPCIONAL – SEGURIDAD Y SENSORES (Smart Room, integrado con la llamada; no suma al total)</t>
  </si>
  <si>
    <t xml:space="preserve">SR-CAM</t>
  </si>
  <si>
    <t xml:space="preserve">Cámara 360° IP con detección de caídas + audio VoIP (techo)</t>
  </si>
  <si>
    <t xml:space="preserve">dormitorios, salones, pasillo y sala común; PB: hall y recepción</t>
  </si>
  <si>
    <t xml:space="preserve">SR-FALL</t>
  </si>
  <si>
    <t xml:space="preserve">Detector de caídas WiFi (techo del baño)</t>
  </si>
  <si>
    <t xml:space="preserve">1 por baño</t>
  </si>
  <si>
    <t xml:space="preserve">SR-ENV</t>
  </si>
  <si>
    <t xml:space="preserve">Sensor ambiental: humo, temperatura, humedad</t>
  </si>
  <si>
    <t xml:space="preserve">SR-MED</t>
  </si>
  <si>
    <t xml:space="preserve">Sensor de grado médico bajo el colchón (pulso, respiración, salida de cama)</t>
  </si>
  <si>
    <t xml:space="preserve">1 por cama</t>
  </si>
  <si>
    <t xml:space="preserve">SR-TAG</t>
  </si>
  <si>
    <t xml:space="preserve">Pulsera RTLS del residente con botón SOS</t>
  </si>
  <si>
    <t xml:space="preserve">1 por residente (ajustar)</t>
  </si>
  <si>
    <t xml:space="preserve">SR-GW</t>
  </si>
  <si>
    <t xml:space="preserve">Gateway RTLS (localización de personas y equipos)</t>
  </si>
  <si>
    <t xml:space="preserve">pasillo de cada piso + PB</t>
  </si>
  <si>
    <t xml:space="preserve">SR-AP</t>
  </si>
  <si>
    <t xml:space="preserve">Punto de acceso WiFi PoE</t>
  </si>
  <si>
    <t xml:space="preserve">SR-LOCK</t>
  </si>
  <si>
    <t xml:space="preserve">Cerradura inteligente Bluetooth (puerta del departamento)</t>
  </si>
  <si>
    <t xml:space="preserve">SR-LCK-C</t>
  </si>
  <si>
    <t xml:space="preserve">Controlador de cerraduras Bluetooth PoE</t>
  </si>
  <si>
    <t xml:space="preserve">2 por piso</t>
  </si>
  <si>
    <t xml:space="preserve">SR-ICOM</t>
  </si>
  <si>
    <t xml:space="preserve">Intercomunicador IP con video en la entrada (atiende el teléfono del desk)</t>
  </si>
  <si>
    <t xml:space="preserve">entrada PB</t>
  </si>
  <si>
    <t xml:space="preserve">SR-ACC</t>
  </si>
  <si>
    <t xml:space="preserve">Control de acceso: controlador PoE + lector de tarjeta/código + cerradura electromagnética + pulsador de salida</t>
  </si>
  <si>
    <t xml:space="preserve">lote</t>
  </si>
  <si>
    <t xml:space="preserve">puerta de entrada PB</t>
  </si>
  <si>
    <t xml:space="preserve">SR-EXT</t>
  </si>
  <si>
    <t xml:space="preserve">Cámara IP exterior (bullet)</t>
  </si>
  <si>
    <t xml:space="preserve">acceso al edificio</t>
  </si>
  <si>
    <t xml:space="preserve">SR-CAB</t>
  </si>
  <si>
    <t xml:space="preserve">Cable Cat6 PoE de seguridad y sensores (azul) – metros del modelo + 15 %</t>
  </si>
  <si>
    <t xml:space="preserve">m</t>
  </si>
  <si>
    <t xml:space="preserve">al switch PoE del piso / servidor PB</t>
  </si>
  <si>
    <t xml:space="preserve">SR-INS</t>
  </si>
  <si>
    <t xml:space="preserve">Instalación, integración con la llamada de enfermería y puesta en marcha</t>
  </si>
  <si>
    <t xml:space="preserve">Subtotal opcional</t>
  </si>
  <si>
    <t xml:space="preserve">CABLEADO (metros del modelo + reserva, ver hoja Cables)</t>
  </si>
  <si>
    <t xml:space="preserve">APT</t>
  </si>
  <si>
    <t xml:space="preserve">Cat6 radial dentro de los departamentos (verde)</t>
  </si>
  <si>
    <t xml:space="preserve">metraje del modelo + reserva</t>
  </si>
  <si>
    <t xml:space="preserve">CHAIN</t>
  </si>
  <si>
    <t xml:space="preserve">Cat6 / Cat7 cadena LCom → BoxCom (naranja)</t>
  </si>
  <si>
    <t xml:space="preserve">NET</t>
  </si>
  <si>
    <t xml:space="preserve">Cat6A / Cat7 gabinetes y montante (rojo)</t>
  </si>
  <si>
    <t xml:space="preserve">INSTALACIÓN</t>
  </si>
  <si>
    <t xml:space="preserve">INS-EQ</t>
  </si>
  <si>
    <t xml:space="preserve">Montaje y conexionado de equipos (paneles, luces, tiradores, PCB/LCom/BoxCom, tablets)</t>
  </si>
  <si>
    <t xml:space="preserve">suma de todos los equipos</t>
  </si>
  <si>
    <t xml:space="preserve">INS-CAB</t>
  </si>
  <si>
    <t xml:space="preserve">Tendido de cables en bandeja / cielorraso, canalización y rotulado</t>
  </si>
  <si>
    <t xml:space="preserve">suma de todo el cableado</t>
  </si>
  <si>
    <t xml:space="preserve">INS-RACK</t>
  </si>
  <si>
    <t xml:space="preserve">Armado de gabinetes: switch, servidor, patch panel, UPS</t>
  </si>
  <si>
    <t xml:space="preserve">INS-PRG</t>
  </si>
  <si>
    <t xml:space="preserve">Programación, puesta en marcha y pruebas de cada punto de llamada</t>
  </si>
  <si>
    <t xml:space="preserve">INS-ASB</t>
  </si>
  <si>
    <t xml:space="preserve">Planos conforme a obra (as-built) y protocolo de entrega</t>
  </si>
  <si>
    <t xml:space="preserve">ENTRENAMIENTO</t>
  </si>
  <si>
    <t xml:space="preserve">TR-USR</t>
  </si>
  <si>
    <t xml:space="preserve">Capacitación al personal de enfermería / recepción (uso diario)</t>
  </si>
  <si>
    <t xml:space="preserve">sesión</t>
  </si>
  <si>
    <t xml:space="preserve">por turno</t>
  </si>
  <si>
    <t xml:space="preserve">TR-TEC</t>
  </si>
  <si>
    <t xml:space="preserve">Capacitación técnica a mantenimiento / IT</t>
  </si>
  <si>
    <t xml:space="preserve">TR-DOC</t>
  </si>
  <si>
    <t xml:space="preserve">Manuales de usuario y técnico (ES / EN / HE)</t>
  </si>
  <si>
    <t xml:space="preserve">GARANTÍA Y SERVICIO</t>
  </si>
  <si>
    <t xml:space="preserve">GAR-EQ</t>
  </si>
  <si>
    <t xml:space="preserve">Garantía de equipos</t>
  </si>
  <si>
    <t xml:space="preserve">año</t>
  </si>
  <si>
    <t xml:space="preserve">según fabricante</t>
  </si>
  <si>
    <t xml:space="preserve">GAR-INS</t>
  </si>
  <si>
    <t xml:space="preserve">Garantía de instalación y mano de obra</t>
  </si>
  <si>
    <t xml:space="preserve">MNT</t>
  </si>
  <si>
    <t xml:space="preserve">Mantenimiento preventivo y soporte técnico (opcional)</t>
  </si>
  <si>
    <t xml:space="preserve">opcional</t>
  </si>
  <si>
    <t xml:space="preserve">Subtotal con imprevistos</t>
  </si>
  <si>
    <t xml:space="preserve">TOTAL CON IVA</t>
  </si>
  <si>
    <t xml:space="preserve">Cantidades por nivel</t>
  </si>
  <si>
    <t xml:space="preserve">Pisos tipo</t>
  </si>
  <si>
    <t xml:space="preserve">← cambiar si cambia la cantidad de pisos</t>
  </si>
  <si>
    <t xml:space="preserve">Por piso tipo</t>
  </si>
  <si>
    <t xml:space="preserve">Pisos</t>
  </si>
  <si>
    <t xml:space="preserve">Planta baja</t>
  </si>
  <si>
    <t xml:space="preserve">VOZ</t>
  </si>
  <si>
    <t xml:space="preserve">Panel de llamada con voz y botones – ACE82182451</t>
  </si>
  <si>
    <t xml:space="preserve">TI/TD</t>
  </si>
  <si>
    <t xml:space="preserve">Tirador de baño (inodoro y ducha) – ACE40320303W</t>
  </si>
  <si>
    <t xml:space="preserve">LC</t>
  </si>
  <si>
    <t xml:space="preserve">LCom – concentrador radial del departamento (techo) – ACE71610003</t>
  </si>
  <si>
    <t xml:space="preserve">T</t>
  </si>
  <si>
    <t xml:space="preserve">Tirador de baño – ACE40320303W</t>
  </si>
  <si>
    <t xml:space="preserve">LP</t>
  </si>
  <si>
    <t xml:space="preserve">Luz de pasillo sobre la puerta – ACE41020309</t>
  </si>
  <si>
    <t xml:space="preserve">LCom – concentrador (techo) – ACE71610003</t>
  </si>
  <si>
    <t xml:space="preserve">BC</t>
  </si>
  <si>
    <t xml:space="preserve">BoxCom – concentrador en bus (techo) – ACE70810000</t>
  </si>
  <si>
    <t xml:space="preserve">SW</t>
  </si>
  <si>
    <t xml:space="preserve">Switch PoE 24 puertos D-Link DES-1210-28P – DES-1210-28P</t>
  </si>
  <si>
    <t xml:space="preserve">SRV</t>
  </si>
  <si>
    <t xml:space="preserve">Servidor Buslogic Premium (Advantcare) con software – Buslogic Premium</t>
  </si>
  <si>
    <t xml:space="preserve">TEL</t>
  </si>
  <si>
    <t xml:space="preserve">Teléfono Grandstream Android PoE (colores por tipo de llamada) – Grandstream</t>
  </si>
  <si>
    <t xml:space="preserve">Cables</t>
  </si>
  <si>
    <t xml:space="preserve">Reserva</t>
  </si>
  <si>
    <t xml:space="preserve">Redondeo a</t>
  </si>
  <si>
    <t xml:space="preserve">Calculado por piso (m)</t>
  </si>
  <si>
    <t xml:space="preserve">Calculado PB (m)</t>
  </si>
  <si>
    <t xml:space="preserve">Extra fijo (m)</t>
  </si>
  <si>
    <t xml:space="preserve">Cantidad a comprar (m)</t>
  </si>
  <si>
    <t xml:space="preserve">Notas</t>
  </si>
  <si>
    <t xml:space="preserve">1. Cantidades calculadas del modelo 3D/2D del proyecto (piso tipo × pisos + planta baja).</t>
  </si>
  <si>
    <t xml:space="preserve">2. Longitudes de cable medidas sobre el recorrido dibujado; la reserva y el redondeo se ajustan en la hoja Cables.</t>
  </si>
  <si>
    <t xml:space="preserve">3. Precios unitarios: completar según lista vigente de Advantecnia / proveedores (celdas amarillas).</t>
  </si>
  <si>
    <t xml:space="preserve">4. Imprevistos 5 % e IVA 18 % son supuestos editables (hoja BOQ, celdas C6 y C7).</t>
  </si>
  <si>
    <t xml:space="preserve">5. Cantidades de anteproyecto: validar en obra antes de comprar.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</si>
</sst>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;\(#,##0\);\-"/>
    <numFmt numFmtId="167" formatCode="#,##0.00;\(#,##0.00\);\-"/>
    <numFmt numFmtId="168" formatCode="0"/>
    <numFmt numFmtId="169" formatCode="0&quot; m&quot;"/>
    <numFmt numFmtId="170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i val="true"/>
      <sz val="10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CF1"/>
        <bgColor rgb="FFF1F3F5"/>
      </patternFill>
    </fill>
    <fill>
      <patternFill patternType="solid">
        <fgColor rgb="FFF1F3F5"/>
        <bgColor rgb="FFE8ECF1"/>
      </patternFill>
    </fill>
    <fill>
      <patternFill patternType="solid">
        <fgColor rgb="FFFBE9DD"/>
        <bgColor rgb="FFF1F3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3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E8ECF1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true" outlineLevel="0" collapsed="false">
      <c r="B5" s="4" t="s">
        <v>3</v>
      </c>
      <c r="C5" s="5" t="s">
        <v>4</v>
      </c>
      <c r="E5" s="6" t="s">
        <v>5</v>
      </c>
      <c r="F5" s="6"/>
      <c r="G5" s="6"/>
      <c r="H5" s="6"/>
    </row>
    <row r="6" customFormat="false" ht="15" hidden="false" customHeight="false" outlineLevel="0" collapsed="false">
      <c r="B6" s="4" t="s">
        <v>6</v>
      </c>
      <c r="C6" s="7" t="n">
        <v>0.05</v>
      </c>
      <c r="E6" s="6"/>
      <c r="F6" s="6"/>
      <c r="G6" s="6"/>
      <c r="H6" s="6"/>
    </row>
    <row r="7" customFormat="false" ht="15" hidden="false" customHeight="false" outlineLevel="0" collapsed="false">
      <c r="B7" s="4" t="s">
        <v>7</v>
      </c>
      <c r="C7" s="7" t="n">
        <v>0.18</v>
      </c>
      <c r="E7" s="6"/>
      <c r="F7" s="6"/>
      <c r="G7" s="6"/>
      <c r="H7" s="6"/>
    </row>
    <row r="9" customFormat="false" ht="15" hidden="false" customHeight="false" outlineLevel="0" collapsed="false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</row>
    <row r="10" customFormat="false" ht="15" hidden="false" customHeight="false" outlineLevel="0" collapsed="false">
      <c r="A10" s="9" t="s">
        <v>16</v>
      </c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10" t="n">
        <v>1</v>
      </c>
      <c r="B11" s="11" t="s">
        <v>17</v>
      </c>
      <c r="C11" s="12" t="s">
        <v>18</v>
      </c>
      <c r="D11" s="10" t="s">
        <v>19</v>
      </c>
      <c r="E11" s="13" t="n">
        <f aca="false">'Cantidades por nivel'!F7</f>
        <v>32</v>
      </c>
      <c r="F11" s="14"/>
      <c r="G11" s="15" t="n">
        <f aca="false">E11*F11</f>
        <v>0</v>
      </c>
      <c r="H11" s="12" t="s">
        <v>20</v>
      </c>
    </row>
    <row r="12" customFormat="false" ht="15" hidden="false" customHeight="false" outlineLevel="0" collapsed="false">
      <c r="A12" s="10" t="n">
        <v>2</v>
      </c>
      <c r="B12" s="11" t="s">
        <v>21</v>
      </c>
      <c r="C12" s="12" t="s">
        <v>22</v>
      </c>
      <c r="D12" s="10" t="s">
        <v>19</v>
      </c>
      <c r="E12" s="13" t="n">
        <f aca="false">'Cantidades por nivel'!F8</f>
        <v>80</v>
      </c>
      <c r="F12" s="14"/>
      <c r="G12" s="15" t="n">
        <f aca="false">E12*F12</f>
        <v>0</v>
      </c>
      <c r="H12" s="12" t="s">
        <v>23</v>
      </c>
    </row>
    <row r="13" customFormat="false" ht="15" hidden="false" customHeight="false" outlineLevel="0" collapsed="false">
      <c r="A13" s="10" t="n">
        <v>3</v>
      </c>
      <c r="B13" s="11" t="s">
        <v>24</v>
      </c>
      <c r="C13" s="12" t="s">
        <v>25</v>
      </c>
      <c r="D13" s="10" t="s">
        <v>19</v>
      </c>
      <c r="E13" s="13" t="n">
        <f aca="false">'Cantidades por nivel'!F9</f>
        <v>128</v>
      </c>
      <c r="F13" s="14"/>
      <c r="G13" s="15" t="n">
        <f aca="false">E13*F13</f>
        <v>0</v>
      </c>
      <c r="H13" s="12" t="s">
        <v>26</v>
      </c>
    </row>
    <row r="14" customFormat="false" ht="15" hidden="false" customHeight="false" outlineLevel="0" collapsed="false">
      <c r="A14" s="10" t="n">
        <v>4</v>
      </c>
      <c r="B14" s="11" t="s">
        <v>27</v>
      </c>
      <c r="C14" s="12" t="s">
        <v>28</v>
      </c>
      <c r="D14" s="10" t="s">
        <v>19</v>
      </c>
      <c r="E14" s="13" t="n">
        <f aca="false">'Cantidades por nivel'!F10</f>
        <v>32</v>
      </c>
      <c r="F14" s="14"/>
      <c r="G14" s="15" t="n">
        <f aca="false">E14*F14</f>
        <v>0</v>
      </c>
      <c r="H14" s="12" t="s">
        <v>20</v>
      </c>
    </row>
    <row r="15" customFormat="false" ht="15" hidden="false" customHeight="false" outlineLevel="0" collapsed="false">
      <c r="F15" s="16" t="s">
        <v>29</v>
      </c>
      <c r="G15" s="17" t="n">
        <f aca="false">SUM(G11:G14)</f>
        <v>0</v>
      </c>
    </row>
    <row r="17" customFormat="false" ht="15" hidden="false" customHeight="false" outlineLevel="0" collapsed="false">
      <c r="A17" s="9" t="s">
        <v>30</v>
      </c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10" t="n">
        <v>5</v>
      </c>
      <c r="B18" s="11" t="s">
        <v>24</v>
      </c>
      <c r="C18" s="12" t="s">
        <v>31</v>
      </c>
      <c r="D18" s="10" t="s">
        <v>19</v>
      </c>
      <c r="E18" s="13" t="n">
        <f aca="false">'Cantidades por nivel'!F12</f>
        <v>10</v>
      </c>
      <c r="F18" s="14"/>
      <c r="G18" s="15" t="n">
        <f aca="false">E18*F18</f>
        <v>0</v>
      </c>
      <c r="H18" s="12" t="s">
        <v>32</v>
      </c>
    </row>
    <row r="19" customFormat="false" ht="15" hidden="false" customHeight="false" outlineLevel="0" collapsed="false">
      <c r="A19" s="10" t="n">
        <v>6</v>
      </c>
      <c r="B19" s="11" t="s">
        <v>33</v>
      </c>
      <c r="C19" s="12" t="s">
        <v>34</v>
      </c>
      <c r="D19" s="10" t="s">
        <v>19</v>
      </c>
      <c r="E19" s="13" t="n">
        <f aca="false">'Cantidades por nivel'!F13</f>
        <v>10</v>
      </c>
      <c r="F19" s="14"/>
      <c r="G19" s="15" t="n">
        <f aca="false">E19*F19</f>
        <v>0</v>
      </c>
      <c r="H19" s="12" t="s">
        <v>35</v>
      </c>
    </row>
    <row r="20" customFormat="false" ht="15" hidden="false" customHeight="false" outlineLevel="0" collapsed="false">
      <c r="A20" s="10" t="n">
        <v>7</v>
      </c>
      <c r="B20" s="11" t="s">
        <v>27</v>
      </c>
      <c r="C20" s="12" t="s">
        <v>36</v>
      </c>
      <c r="D20" s="10" t="s">
        <v>19</v>
      </c>
      <c r="E20" s="13" t="n">
        <f aca="false">'Cantidades por nivel'!F14</f>
        <v>9</v>
      </c>
      <c r="F20" s="14"/>
      <c r="G20" s="15" t="n">
        <f aca="false">E20*F20</f>
        <v>0</v>
      </c>
      <c r="H20" s="12" t="s">
        <v>37</v>
      </c>
    </row>
    <row r="21" customFormat="false" ht="15" hidden="false" customHeight="false" outlineLevel="0" collapsed="false">
      <c r="F21" s="16" t="s">
        <v>29</v>
      </c>
      <c r="G21" s="17" t="n">
        <f aca="false">SUM(G18:G20)</f>
        <v>0</v>
      </c>
    </row>
    <row r="23" customFormat="false" ht="15" hidden="false" customHeight="false" outlineLevel="0" collapsed="false">
      <c r="A23" s="9" t="s">
        <v>38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10" t="n">
        <v>8</v>
      </c>
      <c r="B24" s="11" t="s">
        <v>39</v>
      </c>
      <c r="C24" s="12" t="s">
        <v>40</v>
      </c>
      <c r="D24" s="10" t="s">
        <v>19</v>
      </c>
      <c r="E24" s="13" t="n">
        <f aca="false">'Cantidades por nivel'!F16</f>
        <v>17</v>
      </c>
      <c r="F24" s="14"/>
      <c r="G24" s="15" t="n">
        <f aca="false">E24*F24</f>
        <v>0</v>
      </c>
      <c r="H24" s="12" t="s">
        <v>41</v>
      </c>
    </row>
    <row r="25" customFormat="false" ht="15" hidden="false" customHeight="false" outlineLevel="0" collapsed="false">
      <c r="A25" s="10" t="n">
        <v>9</v>
      </c>
      <c r="B25" s="11" t="s">
        <v>42</v>
      </c>
      <c r="C25" s="12" t="s">
        <v>43</v>
      </c>
      <c r="D25" s="10" t="s">
        <v>19</v>
      </c>
      <c r="E25" s="13" t="n">
        <f aca="false">'Cantidades por nivel'!F17</f>
        <v>9</v>
      </c>
      <c r="F25" s="14"/>
      <c r="G25" s="15" t="n">
        <f aca="false">E25*F25</f>
        <v>0</v>
      </c>
      <c r="H25" s="12" t="s">
        <v>44</v>
      </c>
    </row>
    <row r="26" customFormat="false" ht="15" hidden="false" customHeight="false" outlineLevel="0" collapsed="false">
      <c r="A26" s="10" t="n">
        <v>10</v>
      </c>
      <c r="B26" s="11" t="s">
        <v>45</v>
      </c>
      <c r="C26" s="12" t="s">
        <v>46</v>
      </c>
      <c r="D26" s="10" t="s">
        <v>19</v>
      </c>
      <c r="E26" s="13" t="n">
        <f aca="false">'Cantidades por nivel'!F18</f>
        <v>8</v>
      </c>
      <c r="F26" s="14"/>
      <c r="G26" s="15" t="n">
        <f aca="false">E26*F26</f>
        <v>0</v>
      </c>
      <c r="H26" s="12" t="s">
        <v>47</v>
      </c>
    </row>
    <row r="27" customFormat="false" ht="15" hidden="false" customHeight="false" outlineLevel="0" collapsed="false">
      <c r="A27" s="10" t="n">
        <v>11</v>
      </c>
      <c r="B27" s="11" t="s">
        <v>48</v>
      </c>
      <c r="C27" s="12" t="s">
        <v>49</v>
      </c>
      <c r="D27" s="10" t="s">
        <v>19</v>
      </c>
      <c r="E27" s="13" t="n">
        <f aca="false">'Cantidades por nivel'!F19</f>
        <v>1</v>
      </c>
      <c r="F27" s="14"/>
      <c r="G27" s="15" t="n">
        <f aca="false">E27*F27</f>
        <v>0</v>
      </c>
      <c r="H27" s="12" t="s">
        <v>50</v>
      </c>
    </row>
    <row r="28" customFormat="false" ht="15" hidden="false" customHeight="false" outlineLevel="0" collapsed="false">
      <c r="A28" s="10" t="n">
        <v>12</v>
      </c>
      <c r="B28" s="11" t="s">
        <v>51</v>
      </c>
      <c r="C28" s="12" t="s">
        <v>52</v>
      </c>
      <c r="D28" s="10" t="s">
        <v>19</v>
      </c>
      <c r="E28" s="13" t="n">
        <f aca="false">'Cantidades por nivel'!F20</f>
        <v>1</v>
      </c>
      <c r="F28" s="14"/>
      <c r="G28" s="15" t="n">
        <f aca="false">E28*F28</f>
        <v>0</v>
      </c>
      <c r="H28" s="12" t="s">
        <v>50</v>
      </c>
    </row>
    <row r="29" customFormat="false" ht="15" hidden="false" customHeight="false" outlineLevel="0" collapsed="false">
      <c r="A29" s="10" t="n">
        <v>13</v>
      </c>
      <c r="B29" s="11" t="s">
        <v>53</v>
      </c>
      <c r="C29" s="12" t="s">
        <v>54</v>
      </c>
      <c r="D29" s="10" t="s">
        <v>19</v>
      </c>
      <c r="E29" s="13" t="n">
        <f aca="false">'Cantidades por nivel'!F21</f>
        <v>1</v>
      </c>
      <c r="F29" s="14"/>
      <c r="G29" s="15" t="n">
        <f aca="false">E29*F29</f>
        <v>0</v>
      </c>
      <c r="H29" s="12" t="s">
        <v>55</v>
      </c>
    </row>
    <row r="30" customFormat="false" ht="15" hidden="false" customHeight="false" outlineLevel="0" collapsed="false">
      <c r="F30" s="16" t="s">
        <v>29</v>
      </c>
      <c r="G30" s="17" t="n">
        <f aca="false">SUM(G24:G29)</f>
        <v>0</v>
      </c>
    </row>
    <row r="32" customFormat="false" ht="15" hidden="false" customHeight="false" outlineLevel="0" collapsed="false">
      <c r="A32" s="9" t="s">
        <v>56</v>
      </c>
      <c r="B32" s="9"/>
      <c r="C32" s="9"/>
      <c r="D32" s="9"/>
      <c r="E32" s="9"/>
      <c r="F32" s="9"/>
      <c r="G32" s="9"/>
      <c r="H32" s="9"/>
    </row>
    <row r="33" customFormat="false" ht="35.05" hidden="false" customHeight="false" outlineLevel="0" collapsed="false">
      <c r="A33" s="10" t="n">
        <v>14</v>
      </c>
      <c r="B33" s="11" t="s">
        <v>57</v>
      </c>
      <c r="C33" s="12" t="s">
        <v>58</v>
      </c>
      <c r="D33" s="10" t="s">
        <v>19</v>
      </c>
      <c r="E33" s="13" t="n">
        <f aca="false">'Cantidades por nivel'!F23</f>
        <v>106</v>
      </c>
      <c r="F33" s="14"/>
      <c r="G33" s="15" t="n">
        <f aca="false">E33*F33</f>
        <v>0</v>
      </c>
      <c r="H33" s="12" t="s">
        <v>59</v>
      </c>
    </row>
    <row r="34" customFormat="false" ht="15" hidden="false" customHeight="false" outlineLevel="0" collapsed="false">
      <c r="A34" s="10" t="n">
        <v>15</v>
      </c>
      <c r="B34" s="11" t="s">
        <v>60</v>
      </c>
      <c r="C34" s="12" t="s">
        <v>61</v>
      </c>
      <c r="D34" s="10" t="s">
        <v>19</v>
      </c>
      <c r="E34" s="13" t="n">
        <f aca="false">'Cantidades por nivel'!F24</f>
        <v>64</v>
      </c>
      <c r="F34" s="14"/>
      <c r="G34" s="15" t="n">
        <f aca="false">E34*F34</f>
        <v>0</v>
      </c>
      <c r="H34" s="12" t="s">
        <v>62</v>
      </c>
    </row>
    <row r="35" customFormat="false" ht="15" hidden="false" customHeight="false" outlineLevel="0" collapsed="false">
      <c r="A35" s="10" t="n">
        <v>16</v>
      </c>
      <c r="B35" s="11" t="s">
        <v>63</v>
      </c>
      <c r="C35" s="12" t="s">
        <v>64</v>
      </c>
      <c r="D35" s="10" t="s">
        <v>19</v>
      </c>
      <c r="E35" s="13" t="n">
        <f aca="false">'Cantidades por nivel'!F25</f>
        <v>32</v>
      </c>
      <c r="F35" s="14"/>
      <c r="G35" s="15" t="n">
        <f aca="false">E35*F35</f>
        <v>0</v>
      </c>
      <c r="H35" s="12" t="s">
        <v>20</v>
      </c>
    </row>
    <row r="36" customFormat="false" ht="23.85" hidden="false" customHeight="false" outlineLevel="0" collapsed="false">
      <c r="A36" s="10" t="n">
        <v>17</v>
      </c>
      <c r="B36" s="11" t="s">
        <v>65</v>
      </c>
      <c r="C36" s="12" t="s">
        <v>66</v>
      </c>
      <c r="D36" s="10" t="s">
        <v>19</v>
      </c>
      <c r="E36" s="13" t="n">
        <f aca="false">'Cantidades por nivel'!F26</f>
        <v>48</v>
      </c>
      <c r="F36" s="14"/>
      <c r="G36" s="15" t="n">
        <f aca="false">E36*F36</f>
        <v>0</v>
      </c>
      <c r="H36" s="12" t="s">
        <v>67</v>
      </c>
    </row>
    <row r="37" customFormat="false" ht="15" hidden="false" customHeight="false" outlineLevel="0" collapsed="false">
      <c r="A37" s="10" t="n">
        <v>18</v>
      </c>
      <c r="B37" s="11" t="s">
        <v>68</v>
      </c>
      <c r="C37" s="12" t="s">
        <v>69</v>
      </c>
      <c r="D37" s="10" t="s">
        <v>19</v>
      </c>
      <c r="E37" s="13" t="n">
        <f aca="false">'Cantidades por nivel'!F27</f>
        <v>48</v>
      </c>
      <c r="F37" s="14"/>
      <c r="G37" s="15" t="n">
        <f aca="false">E37*F37</f>
        <v>0</v>
      </c>
      <c r="H37" s="12" t="s">
        <v>70</v>
      </c>
    </row>
    <row r="38" customFormat="false" ht="15" hidden="false" customHeight="false" outlineLevel="0" collapsed="false">
      <c r="A38" s="10" t="n">
        <v>19</v>
      </c>
      <c r="B38" s="11" t="s">
        <v>71</v>
      </c>
      <c r="C38" s="12" t="s">
        <v>72</v>
      </c>
      <c r="D38" s="10" t="s">
        <v>19</v>
      </c>
      <c r="E38" s="13" t="n">
        <f aca="false">'Cantidades por nivel'!F28</f>
        <v>17</v>
      </c>
      <c r="F38" s="14"/>
      <c r="G38" s="15" t="n">
        <f aca="false">E38*F38</f>
        <v>0</v>
      </c>
      <c r="H38" s="12" t="s">
        <v>73</v>
      </c>
    </row>
    <row r="39" customFormat="false" ht="15" hidden="false" customHeight="false" outlineLevel="0" collapsed="false">
      <c r="A39" s="10" t="n">
        <v>20</v>
      </c>
      <c r="B39" s="11" t="s">
        <v>74</v>
      </c>
      <c r="C39" s="12" t="s">
        <v>75</v>
      </c>
      <c r="D39" s="10" t="s">
        <v>19</v>
      </c>
      <c r="E39" s="13" t="n">
        <f aca="false">'Cantidades por nivel'!F29</f>
        <v>17</v>
      </c>
      <c r="F39" s="14"/>
      <c r="G39" s="15" t="n">
        <f aca="false">E39*F39</f>
        <v>0</v>
      </c>
      <c r="H39" s="12" t="s">
        <v>73</v>
      </c>
    </row>
    <row r="40" customFormat="false" ht="15" hidden="false" customHeight="false" outlineLevel="0" collapsed="false">
      <c r="A40" s="10" t="n">
        <v>21</v>
      </c>
      <c r="B40" s="11" t="s">
        <v>76</v>
      </c>
      <c r="C40" s="12" t="s">
        <v>77</v>
      </c>
      <c r="D40" s="10" t="s">
        <v>19</v>
      </c>
      <c r="E40" s="13" t="n">
        <f aca="false">'Cantidades por nivel'!F30</f>
        <v>32</v>
      </c>
      <c r="F40" s="14"/>
      <c r="G40" s="15" t="n">
        <f aca="false">E40*F40</f>
        <v>0</v>
      </c>
      <c r="H40" s="12" t="s">
        <v>20</v>
      </c>
    </row>
    <row r="41" customFormat="false" ht="15" hidden="false" customHeight="false" outlineLevel="0" collapsed="false">
      <c r="A41" s="10" t="n">
        <v>22</v>
      </c>
      <c r="B41" s="11" t="s">
        <v>78</v>
      </c>
      <c r="C41" s="12" t="s">
        <v>79</v>
      </c>
      <c r="D41" s="10" t="s">
        <v>19</v>
      </c>
      <c r="E41" s="13" t="n">
        <f aca="false">'Cantidades por nivel'!F31</f>
        <v>16</v>
      </c>
      <c r="F41" s="14"/>
      <c r="G41" s="15" t="n">
        <f aca="false">E41*F41</f>
        <v>0</v>
      </c>
      <c r="H41" s="12" t="s">
        <v>80</v>
      </c>
    </row>
    <row r="42" customFormat="false" ht="23.85" hidden="false" customHeight="false" outlineLevel="0" collapsed="false">
      <c r="A42" s="10" t="n">
        <v>23</v>
      </c>
      <c r="B42" s="11" t="s">
        <v>81</v>
      </c>
      <c r="C42" s="12" t="s">
        <v>82</v>
      </c>
      <c r="D42" s="10" t="s">
        <v>19</v>
      </c>
      <c r="E42" s="13" t="n">
        <f aca="false">'Cantidades por nivel'!F32</f>
        <v>1</v>
      </c>
      <c r="F42" s="14"/>
      <c r="G42" s="15" t="n">
        <f aca="false">E42*F42</f>
        <v>0</v>
      </c>
      <c r="H42" s="12" t="s">
        <v>83</v>
      </c>
    </row>
    <row r="43" customFormat="false" ht="23.85" hidden="false" customHeight="false" outlineLevel="0" collapsed="false">
      <c r="A43" s="10" t="n">
        <v>24</v>
      </c>
      <c r="B43" s="11" t="s">
        <v>84</v>
      </c>
      <c r="C43" s="12" t="s">
        <v>85</v>
      </c>
      <c r="D43" s="10" t="s">
        <v>86</v>
      </c>
      <c r="E43" s="13" t="n">
        <f aca="false">'Cantidades por nivel'!F33</f>
        <v>1</v>
      </c>
      <c r="F43" s="14"/>
      <c r="G43" s="15" t="n">
        <f aca="false">E43*F43</f>
        <v>0</v>
      </c>
      <c r="H43" s="12" t="s">
        <v>87</v>
      </c>
    </row>
    <row r="44" customFormat="false" ht="15" hidden="false" customHeight="false" outlineLevel="0" collapsed="false">
      <c r="A44" s="10" t="n">
        <v>25</v>
      </c>
      <c r="B44" s="11" t="s">
        <v>88</v>
      </c>
      <c r="C44" s="12" t="s">
        <v>89</v>
      </c>
      <c r="D44" s="10" t="s">
        <v>19</v>
      </c>
      <c r="E44" s="13" t="n">
        <f aca="false">'Cantidades por nivel'!F34</f>
        <v>1</v>
      </c>
      <c r="F44" s="14"/>
      <c r="G44" s="15" t="n">
        <f aca="false">E44*F44</f>
        <v>0</v>
      </c>
      <c r="H44" s="12" t="s">
        <v>90</v>
      </c>
    </row>
    <row r="45" customFormat="false" ht="23.85" hidden="false" customHeight="false" outlineLevel="0" collapsed="false">
      <c r="A45" s="10" t="n">
        <v>26</v>
      </c>
      <c r="B45" s="11" t="s">
        <v>91</v>
      </c>
      <c r="C45" s="12" t="s">
        <v>92</v>
      </c>
      <c r="D45" s="10" t="s">
        <v>93</v>
      </c>
      <c r="E45" s="13" t="n">
        <f aca="false">'Cantidades por nivel'!F35</f>
        <v>2670</v>
      </c>
      <c r="F45" s="14"/>
      <c r="G45" s="15" t="n">
        <f aca="false">E45*F45</f>
        <v>0</v>
      </c>
      <c r="H45" s="12" t="s">
        <v>94</v>
      </c>
    </row>
    <row r="46" customFormat="false" ht="23.85" hidden="false" customHeight="false" outlineLevel="0" collapsed="false">
      <c r="A46" s="10" t="n">
        <v>27</v>
      </c>
      <c r="B46" s="11" t="s">
        <v>95</v>
      </c>
      <c r="C46" s="12" t="s">
        <v>96</v>
      </c>
      <c r="D46" s="10" t="s">
        <v>86</v>
      </c>
      <c r="E46" s="18" t="n">
        <v>1</v>
      </c>
      <c r="F46" s="14"/>
      <c r="G46" s="15" t="n">
        <f aca="false">E46*F46</f>
        <v>0</v>
      </c>
      <c r="H46" s="12"/>
    </row>
    <row r="47" customFormat="false" ht="15" hidden="false" customHeight="false" outlineLevel="0" collapsed="false">
      <c r="F47" s="16" t="s">
        <v>97</v>
      </c>
      <c r="G47" s="17" t="n">
        <f aca="false">SUM(G33:G46)</f>
        <v>0</v>
      </c>
    </row>
    <row r="49" customFormat="false" ht="15" hidden="false" customHeight="false" outlineLevel="0" collapsed="false">
      <c r="A49" s="9" t="s">
        <v>98</v>
      </c>
      <c r="B49" s="9"/>
      <c r="C49" s="9"/>
      <c r="D49" s="9"/>
      <c r="E49" s="9"/>
      <c r="F49" s="9"/>
      <c r="G49" s="9"/>
      <c r="H49" s="9"/>
    </row>
    <row r="50" customFormat="false" ht="15" hidden="false" customHeight="false" outlineLevel="0" collapsed="false">
      <c r="A50" s="10" t="n">
        <v>28</v>
      </c>
      <c r="B50" s="11" t="s">
        <v>99</v>
      </c>
      <c r="C50" s="12" t="s">
        <v>100</v>
      </c>
      <c r="D50" s="10" t="s">
        <v>93</v>
      </c>
      <c r="E50" s="13" t="n">
        <f aca="false">Cables!G8</f>
        <v>1700</v>
      </c>
      <c r="F50" s="14"/>
      <c r="G50" s="15" t="n">
        <f aca="false">E50*F50</f>
        <v>0</v>
      </c>
      <c r="H50" s="12" t="s">
        <v>101</v>
      </c>
    </row>
    <row r="51" customFormat="false" ht="15" hidden="false" customHeight="false" outlineLevel="0" collapsed="false">
      <c r="A51" s="10" t="n">
        <v>29</v>
      </c>
      <c r="B51" s="11" t="s">
        <v>102</v>
      </c>
      <c r="C51" s="12" t="s">
        <v>103</v>
      </c>
      <c r="D51" s="10" t="s">
        <v>93</v>
      </c>
      <c r="E51" s="13" t="n">
        <f aca="false">Cables!G9</f>
        <v>750</v>
      </c>
      <c r="F51" s="14"/>
      <c r="G51" s="15" t="n">
        <f aca="false">E51*F51</f>
        <v>0</v>
      </c>
      <c r="H51" s="12" t="s">
        <v>101</v>
      </c>
    </row>
    <row r="52" customFormat="false" ht="15" hidden="false" customHeight="false" outlineLevel="0" collapsed="false">
      <c r="A52" s="10" t="n">
        <v>30</v>
      </c>
      <c r="B52" s="11" t="s">
        <v>104</v>
      </c>
      <c r="C52" s="12" t="s">
        <v>105</v>
      </c>
      <c r="D52" s="10" t="s">
        <v>93</v>
      </c>
      <c r="E52" s="13" t="n">
        <f aca="false">Cables!G10</f>
        <v>130</v>
      </c>
      <c r="F52" s="14"/>
      <c r="G52" s="15" t="n">
        <f aca="false">E52*F52</f>
        <v>0</v>
      </c>
      <c r="H52" s="12" t="s">
        <v>101</v>
      </c>
    </row>
    <row r="53" customFormat="false" ht="15" hidden="false" customHeight="false" outlineLevel="0" collapsed="false">
      <c r="F53" s="16" t="s">
        <v>29</v>
      </c>
      <c r="G53" s="17" t="n">
        <f aca="false">SUM(G50:G52)</f>
        <v>0</v>
      </c>
    </row>
    <row r="55" customFormat="false" ht="15" hidden="false" customHeight="false" outlineLevel="0" collapsed="false">
      <c r="A55" s="9" t="s">
        <v>106</v>
      </c>
      <c r="B55" s="9"/>
      <c r="C55" s="9"/>
      <c r="D55" s="9"/>
      <c r="E55" s="9"/>
      <c r="F55" s="9"/>
      <c r="G55" s="9"/>
      <c r="H55" s="9"/>
    </row>
    <row r="56" customFormat="false" ht="23.85" hidden="false" customHeight="false" outlineLevel="0" collapsed="false">
      <c r="A56" s="10" t="n">
        <v>31</v>
      </c>
      <c r="B56" s="11" t="s">
        <v>107</v>
      </c>
      <c r="C56" s="12" t="s">
        <v>108</v>
      </c>
      <c r="D56" s="10" t="s">
        <v>19</v>
      </c>
      <c r="E56" s="19" t="n">
        <f aca="false">E11+E12+E13+E14+E18+E19+E20+E24+E29</f>
        <v>319</v>
      </c>
      <c r="F56" s="14"/>
      <c r="G56" s="15" t="n">
        <f aca="false">E56*F56</f>
        <v>0</v>
      </c>
      <c r="H56" s="12" t="s">
        <v>109</v>
      </c>
    </row>
    <row r="57" customFormat="false" ht="15" hidden="false" customHeight="false" outlineLevel="0" collapsed="false">
      <c r="A57" s="10" t="n">
        <v>32</v>
      </c>
      <c r="B57" s="11" t="s">
        <v>110</v>
      </c>
      <c r="C57" s="12" t="s">
        <v>111</v>
      </c>
      <c r="D57" s="10" t="s">
        <v>93</v>
      </c>
      <c r="E57" s="19" t="n">
        <f aca="false">E50+E51+E52</f>
        <v>2580</v>
      </c>
      <c r="F57" s="14"/>
      <c r="G57" s="15" t="n">
        <f aca="false">E57*F57</f>
        <v>0</v>
      </c>
      <c r="H57" s="12" t="s">
        <v>112</v>
      </c>
    </row>
    <row r="58" customFormat="false" ht="15" hidden="false" customHeight="false" outlineLevel="0" collapsed="false">
      <c r="A58" s="10" t="n">
        <v>33</v>
      </c>
      <c r="B58" s="11" t="s">
        <v>113</v>
      </c>
      <c r="C58" s="12" t="s">
        <v>114</v>
      </c>
      <c r="D58" s="10" t="s">
        <v>86</v>
      </c>
      <c r="E58" s="18" t="n">
        <v>1</v>
      </c>
      <c r="F58" s="14"/>
      <c r="G58" s="15" t="n">
        <f aca="false">E58*F58</f>
        <v>0</v>
      </c>
      <c r="H58" s="12"/>
    </row>
    <row r="59" customFormat="false" ht="15" hidden="false" customHeight="false" outlineLevel="0" collapsed="false">
      <c r="A59" s="10" t="n">
        <v>34</v>
      </c>
      <c r="B59" s="11" t="s">
        <v>115</v>
      </c>
      <c r="C59" s="12" t="s">
        <v>116</v>
      </c>
      <c r="D59" s="10" t="s">
        <v>86</v>
      </c>
      <c r="E59" s="18" t="n">
        <v>1</v>
      </c>
      <c r="F59" s="14"/>
      <c r="G59" s="15" t="n">
        <f aca="false">E59*F59</f>
        <v>0</v>
      </c>
      <c r="H59" s="12"/>
    </row>
    <row r="60" customFormat="false" ht="15" hidden="false" customHeight="false" outlineLevel="0" collapsed="false">
      <c r="A60" s="10" t="n">
        <v>35</v>
      </c>
      <c r="B60" s="11" t="s">
        <v>117</v>
      </c>
      <c r="C60" s="12" t="s">
        <v>118</v>
      </c>
      <c r="D60" s="10" t="s">
        <v>86</v>
      </c>
      <c r="E60" s="18" t="n">
        <v>1</v>
      </c>
      <c r="F60" s="14"/>
      <c r="G60" s="15" t="n">
        <f aca="false">E60*F60</f>
        <v>0</v>
      </c>
      <c r="H60" s="12"/>
    </row>
    <row r="61" customFormat="false" ht="15" hidden="false" customHeight="false" outlineLevel="0" collapsed="false">
      <c r="F61" s="16" t="s">
        <v>29</v>
      </c>
      <c r="G61" s="17" t="n">
        <f aca="false">SUM(G56:G60)</f>
        <v>0</v>
      </c>
    </row>
    <row r="63" customFormat="false" ht="15" hidden="false" customHeight="false" outlineLevel="0" collapsed="false">
      <c r="A63" s="9" t="s">
        <v>119</v>
      </c>
      <c r="B63" s="9"/>
      <c r="C63" s="9"/>
      <c r="D63" s="9"/>
      <c r="E63" s="9"/>
      <c r="F63" s="9"/>
      <c r="G63" s="9"/>
      <c r="H63" s="9"/>
    </row>
    <row r="64" customFormat="false" ht="15" hidden="false" customHeight="false" outlineLevel="0" collapsed="false">
      <c r="A64" s="10" t="n">
        <v>36</v>
      </c>
      <c r="B64" s="11" t="s">
        <v>120</v>
      </c>
      <c r="C64" s="12" t="s">
        <v>121</v>
      </c>
      <c r="D64" s="10" t="s">
        <v>122</v>
      </c>
      <c r="E64" s="18" t="n">
        <v>2</v>
      </c>
      <c r="F64" s="14"/>
      <c r="G64" s="15" t="n">
        <f aca="false">E64*F64</f>
        <v>0</v>
      </c>
      <c r="H64" s="12" t="s">
        <v>123</v>
      </c>
    </row>
    <row r="65" customFormat="false" ht="15" hidden="false" customHeight="false" outlineLevel="0" collapsed="false">
      <c r="A65" s="10" t="n">
        <v>37</v>
      </c>
      <c r="B65" s="11" t="s">
        <v>124</v>
      </c>
      <c r="C65" s="12" t="s">
        <v>125</v>
      </c>
      <c r="D65" s="10" t="s">
        <v>122</v>
      </c>
      <c r="E65" s="18" t="n">
        <v>1</v>
      </c>
      <c r="F65" s="14"/>
      <c r="G65" s="15" t="n">
        <f aca="false">E65*F65</f>
        <v>0</v>
      </c>
      <c r="H65" s="12"/>
    </row>
    <row r="66" customFormat="false" ht="15" hidden="false" customHeight="false" outlineLevel="0" collapsed="false">
      <c r="A66" s="10" t="n">
        <v>38</v>
      </c>
      <c r="B66" s="11" t="s">
        <v>126</v>
      </c>
      <c r="C66" s="12" t="s">
        <v>127</v>
      </c>
      <c r="D66" s="10" t="s">
        <v>86</v>
      </c>
      <c r="E66" s="18" t="n">
        <v>1</v>
      </c>
      <c r="F66" s="14"/>
      <c r="G66" s="15" t="n">
        <f aca="false">E66*F66</f>
        <v>0</v>
      </c>
      <c r="H66" s="12"/>
    </row>
    <row r="67" customFormat="false" ht="15" hidden="false" customHeight="false" outlineLevel="0" collapsed="false">
      <c r="F67" s="16" t="s">
        <v>29</v>
      </c>
      <c r="G67" s="17" t="n">
        <f aca="false">SUM(G64:G66)</f>
        <v>0</v>
      </c>
    </row>
    <row r="69" customFormat="false" ht="15" hidden="false" customHeight="false" outlineLevel="0" collapsed="false">
      <c r="A69" s="9" t="s">
        <v>128</v>
      </c>
      <c r="B69" s="9"/>
      <c r="C69" s="9"/>
      <c r="D69" s="9"/>
      <c r="E69" s="9"/>
      <c r="F69" s="9"/>
      <c r="G69" s="9"/>
      <c r="H69" s="9"/>
    </row>
    <row r="70" customFormat="false" ht="15" hidden="false" customHeight="false" outlineLevel="0" collapsed="false">
      <c r="A70" s="10" t="n">
        <v>39</v>
      </c>
      <c r="B70" s="11" t="s">
        <v>129</v>
      </c>
      <c r="C70" s="12" t="s">
        <v>130</v>
      </c>
      <c r="D70" s="10" t="s">
        <v>131</v>
      </c>
      <c r="E70" s="18" t="n">
        <v>1</v>
      </c>
      <c r="F70" s="14"/>
      <c r="G70" s="15" t="n">
        <f aca="false">E70*F70</f>
        <v>0</v>
      </c>
      <c r="H70" s="12" t="s">
        <v>132</v>
      </c>
    </row>
    <row r="71" customFormat="false" ht="15" hidden="false" customHeight="false" outlineLevel="0" collapsed="false">
      <c r="A71" s="10" t="n">
        <v>40</v>
      </c>
      <c r="B71" s="11" t="s">
        <v>133</v>
      </c>
      <c r="C71" s="12" t="s">
        <v>134</v>
      </c>
      <c r="D71" s="10" t="s">
        <v>131</v>
      </c>
      <c r="E71" s="18" t="n">
        <v>1</v>
      </c>
      <c r="F71" s="14"/>
      <c r="G71" s="15" t="n">
        <f aca="false">E71*F71</f>
        <v>0</v>
      </c>
      <c r="H71" s="12"/>
    </row>
    <row r="72" customFormat="false" ht="15" hidden="false" customHeight="false" outlineLevel="0" collapsed="false">
      <c r="A72" s="10" t="n">
        <v>41</v>
      </c>
      <c r="B72" s="11" t="s">
        <v>135</v>
      </c>
      <c r="C72" s="12" t="s">
        <v>136</v>
      </c>
      <c r="D72" s="10" t="s">
        <v>131</v>
      </c>
      <c r="E72" s="18" t="n">
        <v>1</v>
      </c>
      <c r="F72" s="14"/>
      <c r="G72" s="15" t="n">
        <f aca="false">E72*F72</f>
        <v>0</v>
      </c>
      <c r="H72" s="12" t="s">
        <v>137</v>
      </c>
    </row>
    <row r="73" customFormat="false" ht="15" hidden="false" customHeight="false" outlineLevel="0" collapsed="false">
      <c r="F73" s="16" t="s">
        <v>29</v>
      </c>
      <c r="G73" s="17" t="n">
        <f aca="false">SUM(G70:G72)</f>
        <v>0</v>
      </c>
    </row>
    <row r="75" customFormat="false" ht="15" hidden="false" customHeight="false" outlineLevel="0" collapsed="false">
      <c r="F75" s="4" t="s">
        <v>29</v>
      </c>
      <c r="G75" s="17" t="n">
        <f aca="false">G15+G21+G30+G53+G61+G67+G73</f>
        <v>0</v>
      </c>
    </row>
    <row r="76" customFormat="false" ht="15" hidden="false" customHeight="false" outlineLevel="0" collapsed="false">
      <c r="F76" s="4" t="s">
        <v>6</v>
      </c>
      <c r="G76" s="15" t="n">
        <f aca="false">G75*$C$6</f>
        <v>0</v>
      </c>
    </row>
    <row r="77" customFormat="false" ht="23.85" hidden="false" customHeight="false" outlineLevel="0" collapsed="false">
      <c r="F77" s="20" t="s">
        <v>138</v>
      </c>
      <c r="G77" s="17" t="n">
        <f aca="false">G75+G76</f>
        <v>0</v>
      </c>
    </row>
    <row r="78" customFormat="false" ht="15" hidden="false" customHeight="false" outlineLevel="0" collapsed="false">
      <c r="F78" s="4" t="s">
        <v>7</v>
      </c>
      <c r="G78" s="15" t="n">
        <f aca="false">G77*$C$7</f>
        <v>0</v>
      </c>
    </row>
    <row r="79" customFormat="false" ht="15" hidden="false" customHeight="false" outlineLevel="0" collapsed="false">
      <c r="F79" s="21" t="s">
        <v>139</v>
      </c>
      <c r="G79" s="22" t="n">
        <f aca="false">G77+G78</f>
        <v>0</v>
      </c>
    </row>
  </sheetData>
  <mergeCells count="9">
    <mergeCell ref="E5:H7"/>
    <mergeCell ref="A10:H10"/>
    <mergeCell ref="A17:H17"/>
    <mergeCell ref="A23:H23"/>
    <mergeCell ref="A32:H32"/>
    <mergeCell ref="A49:H49"/>
    <mergeCell ref="A55:H55"/>
    <mergeCell ref="A63:H63"/>
    <mergeCell ref="A69:H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23" t="s">
        <v>140</v>
      </c>
    </row>
    <row r="3" customFormat="false" ht="15" hidden="false" customHeight="false" outlineLevel="0" collapsed="false">
      <c r="A3" s="4" t="s">
        <v>141</v>
      </c>
      <c r="B3" s="24" t="n">
        <v>8</v>
      </c>
      <c r="C3" s="25" t="s">
        <v>142</v>
      </c>
    </row>
    <row r="5" customFormat="false" ht="15" hidden="false" customHeight="false" outlineLevel="0" collapsed="false">
      <c r="A5" s="8" t="s">
        <v>9</v>
      </c>
      <c r="B5" s="8" t="s">
        <v>10</v>
      </c>
      <c r="C5" s="8" t="s">
        <v>143</v>
      </c>
      <c r="D5" s="8" t="s">
        <v>144</v>
      </c>
      <c r="E5" s="8" t="s">
        <v>145</v>
      </c>
      <c r="F5" s="8" t="s">
        <v>14</v>
      </c>
    </row>
    <row r="6" customFormat="false" ht="15" hidden="false" customHeight="false" outlineLevel="0" collapsed="false">
      <c r="A6" s="9" t="s">
        <v>16</v>
      </c>
      <c r="B6" s="26"/>
      <c r="C6" s="26"/>
      <c r="D6" s="26"/>
      <c r="E6" s="26"/>
      <c r="F6" s="26"/>
    </row>
    <row r="7" customFormat="false" ht="15" hidden="false" customHeight="false" outlineLevel="0" collapsed="false">
      <c r="A7" s="11" t="s">
        <v>17</v>
      </c>
      <c r="B7" s="12" t="s">
        <v>18</v>
      </c>
      <c r="C7" s="18" t="n">
        <v>4</v>
      </c>
      <c r="D7" s="27" t="n">
        <f aca="false">$B$3</f>
        <v>8</v>
      </c>
      <c r="E7" s="18" t="n">
        <v>0</v>
      </c>
      <c r="F7" s="28" t="n">
        <f aca="false">C7*D7+E7</f>
        <v>32</v>
      </c>
    </row>
    <row r="8" customFormat="false" ht="15" hidden="false" customHeight="false" outlineLevel="0" collapsed="false">
      <c r="A8" s="11" t="s">
        <v>146</v>
      </c>
      <c r="B8" s="12" t="s">
        <v>147</v>
      </c>
      <c r="C8" s="18" t="n">
        <v>10</v>
      </c>
      <c r="D8" s="27" t="n">
        <f aca="false">$B$3</f>
        <v>8</v>
      </c>
      <c r="E8" s="18" t="n">
        <v>0</v>
      </c>
      <c r="F8" s="28" t="n">
        <f aca="false">C8*D8+E8</f>
        <v>80</v>
      </c>
    </row>
    <row r="9" customFormat="false" ht="15" hidden="false" customHeight="false" outlineLevel="0" collapsed="false">
      <c r="A9" s="11" t="s">
        <v>148</v>
      </c>
      <c r="B9" s="12" t="s">
        <v>149</v>
      </c>
      <c r="C9" s="18" t="n">
        <v>16</v>
      </c>
      <c r="D9" s="27" t="n">
        <f aca="false">$B$3</f>
        <v>8</v>
      </c>
      <c r="E9" s="18" t="n">
        <v>0</v>
      </c>
      <c r="F9" s="28" t="n">
        <f aca="false">C9*D9+E9</f>
        <v>128</v>
      </c>
    </row>
    <row r="10" customFormat="false" ht="15" hidden="false" customHeight="false" outlineLevel="0" collapsed="false">
      <c r="A10" s="11" t="s">
        <v>150</v>
      </c>
      <c r="B10" s="12" t="s">
        <v>151</v>
      </c>
      <c r="C10" s="18" t="n">
        <v>4</v>
      </c>
      <c r="D10" s="27" t="n">
        <f aca="false">$B$3</f>
        <v>8</v>
      </c>
      <c r="E10" s="18" t="n">
        <v>0</v>
      </c>
      <c r="F10" s="28" t="n">
        <f aca="false">C10*D10+E10</f>
        <v>32</v>
      </c>
    </row>
    <row r="11" customFormat="false" ht="15" hidden="false" customHeight="false" outlineLevel="0" collapsed="false">
      <c r="A11" s="9" t="s">
        <v>30</v>
      </c>
      <c r="B11" s="26"/>
      <c r="C11" s="26"/>
      <c r="D11" s="26"/>
      <c r="E11" s="26"/>
      <c r="F11" s="26"/>
    </row>
    <row r="12" customFormat="false" ht="15" hidden="false" customHeight="false" outlineLevel="0" collapsed="false">
      <c r="A12" s="11" t="s">
        <v>152</v>
      </c>
      <c r="B12" s="12" t="s">
        <v>153</v>
      </c>
      <c r="C12" s="18" t="n">
        <v>1</v>
      </c>
      <c r="D12" s="27" t="n">
        <f aca="false">$B$3</f>
        <v>8</v>
      </c>
      <c r="E12" s="18" t="n">
        <v>2</v>
      </c>
      <c r="F12" s="28" t="n">
        <f aca="false">C12*D12+E12</f>
        <v>10</v>
      </c>
    </row>
    <row r="13" customFormat="false" ht="15" hidden="false" customHeight="false" outlineLevel="0" collapsed="false">
      <c r="A13" s="11" t="s">
        <v>154</v>
      </c>
      <c r="B13" s="12" t="s">
        <v>155</v>
      </c>
      <c r="C13" s="18" t="n">
        <v>1</v>
      </c>
      <c r="D13" s="27" t="n">
        <f aca="false">$B$3</f>
        <v>8</v>
      </c>
      <c r="E13" s="18" t="n">
        <v>2</v>
      </c>
      <c r="F13" s="28" t="n">
        <f aca="false">C13*D13+E13</f>
        <v>10</v>
      </c>
    </row>
    <row r="14" customFormat="false" ht="15" hidden="false" customHeight="false" outlineLevel="0" collapsed="false">
      <c r="A14" s="11" t="s">
        <v>150</v>
      </c>
      <c r="B14" s="12" t="s">
        <v>156</v>
      </c>
      <c r="C14" s="18" t="n">
        <v>1</v>
      </c>
      <c r="D14" s="27" t="n">
        <f aca="false">$B$3</f>
        <v>8</v>
      </c>
      <c r="E14" s="18" t="n">
        <v>1</v>
      </c>
      <c r="F14" s="28" t="n">
        <f aca="false">C14*D14+E14</f>
        <v>9</v>
      </c>
    </row>
    <row r="15" customFormat="false" ht="15" hidden="false" customHeight="false" outlineLevel="0" collapsed="false">
      <c r="A15" s="9" t="s">
        <v>38</v>
      </c>
      <c r="B15" s="26"/>
      <c r="C15" s="26"/>
      <c r="D15" s="26"/>
      <c r="E15" s="26"/>
      <c r="F15" s="26"/>
    </row>
    <row r="16" customFormat="false" ht="15" hidden="false" customHeight="false" outlineLevel="0" collapsed="false">
      <c r="A16" s="11" t="s">
        <v>157</v>
      </c>
      <c r="B16" s="12" t="s">
        <v>158</v>
      </c>
      <c r="C16" s="18" t="n">
        <v>2</v>
      </c>
      <c r="D16" s="27" t="n">
        <f aca="false">$B$3</f>
        <v>8</v>
      </c>
      <c r="E16" s="18" t="n">
        <v>1</v>
      </c>
      <c r="F16" s="28" t="n">
        <f aca="false">C16*D16+E16</f>
        <v>17</v>
      </c>
    </row>
    <row r="17" customFormat="false" ht="15" hidden="false" customHeight="false" outlineLevel="0" collapsed="false">
      <c r="A17" s="11" t="s">
        <v>159</v>
      </c>
      <c r="B17" s="12" t="s">
        <v>160</v>
      </c>
      <c r="C17" s="18" t="n">
        <v>1</v>
      </c>
      <c r="D17" s="27" t="n">
        <f aca="false">$B$3</f>
        <v>8</v>
      </c>
      <c r="E17" s="18" t="n">
        <v>1</v>
      </c>
      <c r="F17" s="28" t="n">
        <f aca="false">C17*D17+E17</f>
        <v>9</v>
      </c>
    </row>
    <row r="18" customFormat="false" ht="15" hidden="false" customHeight="false" outlineLevel="0" collapsed="false">
      <c r="A18" s="11" t="s">
        <v>45</v>
      </c>
      <c r="B18" s="12" t="s">
        <v>46</v>
      </c>
      <c r="C18" s="18" t="n">
        <v>1</v>
      </c>
      <c r="D18" s="27" t="n">
        <f aca="false">$B$3</f>
        <v>8</v>
      </c>
      <c r="E18" s="18" t="n">
        <v>0</v>
      </c>
      <c r="F18" s="28" t="n">
        <f aca="false">C18*D18+E18</f>
        <v>8</v>
      </c>
    </row>
    <row r="19" customFormat="false" ht="15" hidden="false" customHeight="false" outlineLevel="0" collapsed="false">
      <c r="A19" s="11" t="s">
        <v>48</v>
      </c>
      <c r="B19" s="12" t="s">
        <v>49</v>
      </c>
      <c r="C19" s="18" t="n">
        <v>0</v>
      </c>
      <c r="D19" s="27" t="n">
        <f aca="false">$B$3</f>
        <v>8</v>
      </c>
      <c r="E19" s="18" t="n">
        <v>1</v>
      </c>
      <c r="F19" s="28" t="n">
        <f aca="false">C19*D19+E19</f>
        <v>1</v>
      </c>
    </row>
    <row r="20" customFormat="false" ht="15" hidden="false" customHeight="false" outlineLevel="0" collapsed="false">
      <c r="A20" s="11" t="s">
        <v>161</v>
      </c>
      <c r="B20" s="12" t="s">
        <v>162</v>
      </c>
      <c r="C20" s="18" t="n">
        <v>0</v>
      </c>
      <c r="D20" s="27" t="n">
        <f aca="false">$B$3</f>
        <v>8</v>
      </c>
      <c r="E20" s="18" t="n">
        <v>1</v>
      </c>
      <c r="F20" s="28" t="n">
        <f aca="false">C20*D20+E20</f>
        <v>1</v>
      </c>
    </row>
    <row r="21" customFormat="false" ht="23.85" hidden="false" customHeight="false" outlineLevel="0" collapsed="false">
      <c r="A21" s="11" t="s">
        <v>163</v>
      </c>
      <c r="B21" s="12" t="s">
        <v>164</v>
      </c>
      <c r="C21" s="18" t="n">
        <v>0</v>
      </c>
      <c r="D21" s="27" t="n">
        <f aca="false">$B$3</f>
        <v>8</v>
      </c>
      <c r="E21" s="18" t="n">
        <v>1</v>
      </c>
      <c r="F21" s="28" t="n">
        <f aca="false">C21*D21+E21</f>
        <v>1</v>
      </c>
    </row>
    <row r="22" customFormat="false" ht="15" hidden="false" customHeight="false" outlineLevel="0" collapsed="false">
      <c r="A22" s="9" t="s">
        <v>56</v>
      </c>
      <c r="B22" s="26"/>
      <c r="C22" s="26"/>
      <c r="D22" s="26"/>
      <c r="E22" s="26"/>
      <c r="F22" s="26"/>
    </row>
    <row r="23" customFormat="false" ht="15" hidden="false" customHeight="false" outlineLevel="0" collapsed="false">
      <c r="A23" s="11" t="s">
        <v>57</v>
      </c>
      <c r="B23" s="12" t="s">
        <v>58</v>
      </c>
      <c r="C23" s="18" t="n">
        <v>13</v>
      </c>
      <c r="D23" s="27" t="n">
        <f aca="false">$B$3</f>
        <v>8</v>
      </c>
      <c r="E23" s="18" t="n">
        <v>2</v>
      </c>
      <c r="F23" s="28" t="n">
        <f aca="false">C23*D23+E23</f>
        <v>106</v>
      </c>
    </row>
    <row r="24" customFormat="false" ht="15" hidden="false" customHeight="false" outlineLevel="0" collapsed="false">
      <c r="A24" s="11" t="s">
        <v>60</v>
      </c>
      <c r="B24" s="12" t="s">
        <v>61</v>
      </c>
      <c r="C24" s="18" t="n">
        <v>8</v>
      </c>
      <c r="D24" s="27" t="n">
        <f aca="false">$B$3</f>
        <v>8</v>
      </c>
      <c r="E24" s="18" t="n">
        <v>0</v>
      </c>
      <c r="F24" s="28" t="n">
        <f aca="false">C24*D24+E24</f>
        <v>64</v>
      </c>
    </row>
    <row r="25" customFormat="false" ht="15" hidden="false" customHeight="false" outlineLevel="0" collapsed="false">
      <c r="A25" s="11" t="s">
        <v>63</v>
      </c>
      <c r="B25" s="12" t="s">
        <v>64</v>
      </c>
      <c r="C25" s="18" t="n">
        <v>4</v>
      </c>
      <c r="D25" s="27" t="n">
        <f aca="false">$B$3</f>
        <v>8</v>
      </c>
      <c r="E25" s="18" t="n">
        <v>0</v>
      </c>
      <c r="F25" s="28" t="n">
        <f aca="false">C25*D25+E25</f>
        <v>32</v>
      </c>
    </row>
    <row r="26" customFormat="false" ht="15" hidden="false" customHeight="false" outlineLevel="0" collapsed="false">
      <c r="A26" s="11" t="s">
        <v>65</v>
      </c>
      <c r="B26" s="12" t="s">
        <v>66</v>
      </c>
      <c r="C26" s="18" t="n">
        <v>6</v>
      </c>
      <c r="D26" s="27" t="n">
        <f aca="false">$B$3</f>
        <v>8</v>
      </c>
      <c r="E26" s="18" t="n">
        <v>0</v>
      </c>
      <c r="F26" s="28" t="n">
        <f aca="false">C26*D26+E26</f>
        <v>48</v>
      </c>
    </row>
    <row r="27" customFormat="false" ht="15" hidden="false" customHeight="false" outlineLevel="0" collapsed="false">
      <c r="A27" s="11" t="s">
        <v>68</v>
      </c>
      <c r="B27" s="12" t="s">
        <v>69</v>
      </c>
      <c r="C27" s="18" t="n">
        <v>6</v>
      </c>
      <c r="D27" s="27" t="n">
        <f aca="false">$B$3</f>
        <v>8</v>
      </c>
      <c r="E27" s="18" t="n">
        <v>0</v>
      </c>
      <c r="F27" s="28" t="n">
        <f aca="false">C27*D27+E27</f>
        <v>48</v>
      </c>
    </row>
    <row r="28" customFormat="false" ht="15" hidden="false" customHeight="false" outlineLevel="0" collapsed="false">
      <c r="A28" s="11" t="s">
        <v>71</v>
      </c>
      <c r="B28" s="12" t="s">
        <v>72</v>
      </c>
      <c r="C28" s="18" t="n">
        <v>2</v>
      </c>
      <c r="D28" s="27" t="n">
        <f aca="false">$B$3</f>
        <v>8</v>
      </c>
      <c r="E28" s="18" t="n">
        <v>1</v>
      </c>
      <c r="F28" s="28" t="n">
        <f aca="false">C28*D28+E28</f>
        <v>17</v>
      </c>
    </row>
    <row r="29" customFormat="false" ht="15" hidden="false" customHeight="false" outlineLevel="0" collapsed="false">
      <c r="A29" s="11" t="s">
        <v>74</v>
      </c>
      <c r="B29" s="12" t="s">
        <v>75</v>
      </c>
      <c r="C29" s="18" t="n">
        <v>2</v>
      </c>
      <c r="D29" s="27" t="n">
        <f aca="false">$B$3</f>
        <v>8</v>
      </c>
      <c r="E29" s="18" t="n">
        <v>1</v>
      </c>
      <c r="F29" s="28" t="n">
        <f aca="false">C29*D29+E29</f>
        <v>17</v>
      </c>
    </row>
    <row r="30" customFormat="false" ht="15" hidden="false" customHeight="false" outlineLevel="0" collapsed="false">
      <c r="A30" s="11" t="s">
        <v>76</v>
      </c>
      <c r="B30" s="12" t="s">
        <v>77</v>
      </c>
      <c r="C30" s="18" t="n">
        <v>4</v>
      </c>
      <c r="D30" s="27" t="n">
        <f aca="false">$B$3</f>
        <v>8</v>
      </c>
      <c r="E30" s="18" t="n">
        <v>0</v>
      </c>
      <c r="F30" s="28" t="n">
        <f aca="false">C30*D30+E30</f>
        <v>32</v>
      </c>
    </row>
    <row r="31" customFormat="false" ht="15" hidden="false" customHeight="false" outlineLevel="0" collapsed="false">
      <c r="A31" s="11" t="s">
        <v>78</v>
      </c>
      <c r="B31" s="12" t="s">
        <v>79</v>
      </c>
      <c r="C31" s="18" t="n">
        <v>2</v>
      </c>
      <c r="D31" s="27" t="n">
        <f aca="false">$B$3</f>
        <v>8</v>
      </c>
      <c r="E31" s="18" t="n">
        <v>0</v>
      </c>
      <c r="F31" s="28" t="n">
        <f aca="false">C31*D31+E31</f>
        <v>16</v>
      </c>
    </row>
    <row r="32" customFormat="false" ht="15" hidden="false" customHeight="false" outlineLevel="0" collapsed="false">
      <c r="A32" s="11" t="s">
        <v>81</v>
      </c>
      <c r="B32" s="12" t="s">
        <v>82</v>
      </c>
      <c r="C32" s="18" t="n">
        <v>0</v>
      </c>
      <c r="D32" s="27" t="n">
        <f aca="false">$B$3</f>
        <v>8</v>
      </c>
      <c r="E32" s="18" t="n">
        <v>1</v>
      </c>
      <c r="F32" s="28" t="n">
        <f aca="false">C32*D32+E32</f>
        <v>1</v>
      </c>
    </row>
    <row r="33" customFormat="false" ht="23.85" hidden="false" customHeight="false" outlineLevel="0" collapsed="false">
      <c r="A33" s="11" t="s">
        <v>84</v>
      </c>
      <c r="B33" s="12" t="s">
        <v>85</v>
      </c>
      <c r="C33" s="18" t="n">
        <v>0</v>
      </c>
      <c r="D33" s="27" t="n">
        <f aca="false">$B$3</f>
        <v>8</v>
      </c>
      <c r="E33" s="18" t="n">
        <v>1</v>
      </c>
      <c r="F33" s="28" t="n">
        <f aca="false">C33*D33+E33</f>
        <v>1</v>
      </c>
    </row>
    <row r="34" customFormat="false" ht="15" hidden="false" customHeight="false" outlineLevel="0" collapsed="false">
      <c r="A34" s="11" t="s">
        <v>88</v>
      </c>
      <c r="B34" s="12" t="s">
        <v>89</v>
      </c>
      <c r="C34" s="18" t="n">
        <v>0</v>
      </c>
      <c r="D34" s="27" t="n">
        <f aca="false">$B$3</f>
        <v>8</v>
      </c>
      <c r="E34" s="18" t="n">
        <v>1</v>
      </c>
      <c r="F34" s="28" t="n">
        <f aca="false">C34*D34+E34</f>
        <v>1</v>
      </c>
    </row>
    <row r="35" customFormat="false" ht="15" hidden="false" customHeight="false" outlineLevel="0" collapsed="false">
      <c r="A35" s="11" t="s">
        <v>91</v>
      </c>
      <c r="B35" s="12" t="s">
        <v>92</v>
      </c>
      <c r="C35" s="18" t="n">
        <v>320</v>
      </c>
      <c r="D35" s="27" t="n">
        <f aca="false">$B$3</f>
        <v>8</v>
      </c>
      <c r="E35" s="18" t="n">
        <v>110</v>
      </c>
      <c r="F35" s="28" t="n">
        <f aca="false">C35*D35+E35</f>
        <v>2670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23" t="s">
        <v>165</v>
      </c>
    </row>
    <row r="3" customFormat="false" ht="15" hidden="false" customHeight="false" outlineLevel="0" collapsed="false">
      <c r="A3" s="4" t="s">
        <v>166</v>
      </c>
      <c r="B3" s="7" t="n">
        <v>0.15</v>
      </c>
    </row>
    <row r="4" customFormat="false" ht="15" hidden="false" customHeight="false" outlineLevel="0" collapsed="false">
      <c r="A4" s="4" t="s">
        <v>167</v>
      </c>
      <c r="B4" s="29" t="n">
        <v>10</v>
      </c>
    </row>
    <row r="5" customFormat="false" ht="15" hidden="false" customHeight="false" outlineLevel="0" collapsed="false">
      <c r="A5" s="4" t="s">
        <v>141</v>
      </c>
      <c r="B5" s="30" t="n">
        <f aca="false">'Cantidades por nivel'!$B$3</f>
        <v>8</v>
      </c>
    </row>
    <row r="7" customFormat="false" ht="30" hidden="false" customHeight="true" outlineLevel="0" collapsed="false">
      <c r="A7" s="31" t="s">
        <v>9</v>
      </c>
      <c r="B7" s="31" t="s">
        <v>10</v>
      </c>
      <c r="C7" s="31" t="s">
        <v>168</v>
      </c>
      <c r="D7" s="31" t="s">
        <v>169</v>
      </c>
      <c r="E7" s="31" t="s">
        <v>170</v>
      </c>
      <c r="F7" s="31" t="s">
        <v>166</v>
      </c>
      <c r="G7" s="31" t="s">
        <v>171</v>
      </c>
    </row>
    <row r="8" customFormat="false" ht="15" hidden="false" customHeight="false" outlineLevel="0" collapsed="false">
      <c r="A8" s="11" t="s">
        <v>99</v>
      </c>
      <c r="B8" s="12" t="s">
        <v>100</v>
      </c>
      <c r="C8" s="32" t="n">
        <v>183.1</v>
      </c>
      <c r="D8" s="32" t="n">
        <v>13.2</v>
      </c>
      <c r="E8" s="32" t="n">
        <v>0</v>
      </c>
      <c r="F8" s="33" t="n">
        <f aca="false">$B$3</f>
        <v>0.15</v>
      </c>
      <c r="G8" s="28" t="n">
        <f aca="false">ROUNDUP((C8*$B$5+D8+E8)*(1+F8)/$B$4,0)*$B$4</f>
        <v>1700</v>
      </c>
    </row>
    <row r="9" customFormat="false" ht="15" hidden="false" customHeight="false" outlineLevel="0" collapsed="false">
      <c r="A9" s="11" t="s">
        <v>102</v>
      </c>
      <c r="B9" s="12" t="s">
        <v>103</v>
      </c>
      <c r="C9" s="32" t="n">
        <v>79.9</v>
      </c>
      <c r="D9" s="32" t="n">
        <v>11.5</v>
      </c>
      <c r="E9" s="32" t="n">
        <v>0</v>
      </c>
      <c r="F9" s="33" t="n">
        <f aca="false">$B$3</f>
        <v>0.15</v>
      </c>
      <c r="G9" s="28" t="n">
        <f aca="false">ROUNDUP((C9*$B$5+D9+E9)*(1+F9)/$B$4,0)*$B$4</f>
        <v>750</v>
      </c>
    </row>
    <row r="10" customFormat="false" ht="15" hidden="false" customHeight="false" outlineLevel="0" collapsed="false">
      <c r="A10" s="11" t="s">
        <v>104</v>
      </c>
      <c r="B10" s="12" t="s">
        <v>105</v>
      </c>
      <c r="C10" s="32" t="n">
        <v>7.4</v>
      </c>
      <c r="D10" s="32" t="n">
        <v>23.6</v>
      </c>
      <c r="E10" s="32" t="n">
        <v>28.8</v>
      </c>
      <c r="F10" s="33" t="n">
        <f aca="false">$B$3</f>
        <v>0.15</v>
      </c>
      <c r="G10" s="28" t="n">
        <f aca="false">ROUNDUP((C10*$B$5+D10+E10)*(1+F10)/$B$4,0)*$B$4</f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3" t="s">
        <v>172</v>
      </c>
    </row>
    <row r="3" customFormat="false" ht="15" hidden="false" customHeight="false" outlineLevel="0" collapsed="false">
      <c r="A3" s="34" t="s">
        <v>173</v>
      </c>
    </row>
    <row r="4" customFormat="false" ht="15" hidden="false" customHeight="false" outlineLevel="0" collapsed="false">
      <c r="A4" s="34" t="s">
        <v>174</v>
      </c>
    </row>
    <row r="5" customFormat="false" ht="15" hidden="false" customHeight="false" outlineLevel="0" collapsed="false">
      <c r="A5" s="34" t="s">
        <v>175</v>
      </c>
    </row>
    <row r="6" customFormat="false" ht="15" hidden="false" customHeight="false" outlineLevel="0" collapsed="false">
      <c r="A6" s="34" t="s">
        <v>176</v>
      </c>
    </row>
    <row r="7" customFormat="false" ht="15" hidden="false" customHeight="false" outlineLevel="0" collapsed="false">
      <c r="A7" s="34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2026-10-24T20:12:14Z</dcterms:created>
  <dc:creator>openpyxl</dc:creator>
  <dc:description/>
  <dc:language>en-US</dc:language>
  <cp:lastModifiedBy/>
  <dcterms:modified xsi:type="dcterms:W3CDTF">2026-10-24T20:12:14Z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