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  <sheet name="Cables" sheetId="2" state="visible" r:id="rId4"/>
    <sheet name="Notes" sheetId="3" state="visible" r:id="rId5"/>
  </sheets>
  <definedNames>
    <definedName function="false" hidden="false" localSheetId="0" name="_xlnm.Print_Titles" vbProcedure="false">BOQ!$9:$9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Assumption: 5 % contingency. Adjust.</t>
        </r>
      </text>
    </comment>
    <comment ref="C7" authorId="0">
      <text>
        <r>
          <rPr>
            <sz val="10"/>
            <rFont val="Arial"/>
            <family val="2"/>
          </rPr>
          <t xml:space="preserve">Israel VAT 18 % (since 01/2025). Set 0 % if not applicable.</t>
        </r>
      </text>
    </comment>
  </commentList>
</comments>
</file>

<file path=xl/sharedStrings.xml><?xml version="1.0" encoding="utf-8"?>
<sst xmlns="http://schemas.openxmlformats.org/spreadsheetml/2006/main" count="168" uniqueCount="117">
  <si>
    <t xml:space="preserve">BOQ – BILL OF QUANTITIES AND BUDGET</t>
  </si>
  <si>
    <t xml:space="preserve">Yoseftal Medical Center, Eilat – Inpatient ward · Nurse call (REV04)</t>
  </si>
  <si>
    <t xml:space="preserve">Client: ACE BG · Advantecnia      Date: 23/10/2026</t>
  </si>
  <si>
    <t xml:space="preserve">Currency</t>
  </si>
  <si>
    <t xml:space="preserve">₪ ILS</t>
  </si>
  <si>
    <t xml:space="preserve">Yellow cells = fill in (unit prices). Blue text = inputs; black = formulas; green = link to another sheet.</t>
  </si>
  <si>
    <t xml:space="preserve">Contingency</t>
  </si>
  <si>
    <t xml:space="preserve">VAT (Israel)</t>
  </si>
  <si>
    <t xml:space="preserve">#</t>
  </si>
  <si>
    <t xml:space="preserve">Code</t>
  </si>
  <si>
    <t xml:space="preserve">Description</t>
  </si>
  <si>
    <t xml:space="preserve">Unit</t>
  </si>
  <si>
    <t xml:space="preserve">Qty</t>
  </si>
  <si>
    <t xml:space="preserve">Unit price</t>
  </si>
  <si>
    <t xml:space="preserve">Total</t>
  </si>
  <si>
    <t xml:space="preserve">Remark</t>
  </si>
  <si>
    <t xml:space="preserve">ADVANTECNIA / ACE BG – NURSE CALL</t>
  </si>
  <si>
    <t xml:space="preserve">ACE82012153</t>
  </si>
  <si>
    <t xml:space="preserve">Red bed call panel + bayonet socket</t>
  </si>
  <si>
    <t xml:space="preserve">pcs</t>
  </si>
  <si>
    <t xml:space="preserve">1 per bed · h 1.15 m</t>
  </si>
  <si>
    <t xml:space="preserve">ACE39060521</t>
  </si>
  <si>
    <t xml:space="preserve">Call pear handset (2 m cable to bayonet)</t>
  </si>
  <si>
    <t xml:space="preserve">1 per bed</t>
  </si>
  <si>
    <t xml:space="preserve">ACE82082137</t>
  </si>
  <si>
    <t xml:space="preserve">Presence / cancel</t>
  </si>
  <si>
    <t xml:space="preserve">4 rooms + 2 WCs · h 1.35 m</t>
  </si>
  <si>
    <t xml:space="preserve">EOP004</t>
  </si>
  <si>
    <t xml:space="preserve">Corridor light (red · green · blue)</t>
  </si>
  <si>
    <t xml:space="preserve">4 rooms + B3 ×2 + B2 · h 2.42 m</t>
  </si>
  <si>
    <t xml:space="preserve">ACE40320303</t>
  </si>
  <si>
    <t xml:space="preserve">SOS bathroom / shower pull-cord</t>
  </si>
  <si>
    <t xml:space="preserve">B2 ×1 · B3 ×2 · h 1.85 m</t>
  </si>
  <si>
    <t xml:space="preserve">ECV169</t>
  </si>
  <si>
    <t xml:space="preserve">24-pin PCB 12-48 V (Room Controller)</t>
  </si>
  <si>
    <t xml:space="preserve">#1-#8 rooms · #9-#10 B3 · #11 B2 (corridor ceiling)</t>
  </si>
  <si>
    <t xml:space="preserve">EVV049</t>
  </si>
  <si>
    <t xml:space="preserve">SmartHub connectia (Raspberry Pi)</t>
  </si>
  <si>
    <t xml:space="preserve">in the rack</t>
  </si>
  <si>
    <t xml:space="preserve">EOP006</t>
  </si>
  <si>
    <t xml:space="preserve">LVNS server</t>
  </si>
  <si>
    <t xml:space="preserve">EOP002</t>
  </si>
  <si>
    <t xml:space="preserve">Nurse iPad 10.9" (Wi-Fi)</t>
  </si>
  <si>
    <t xml:space="preserve">nurse desk · receives and resolves all calls</t>
  </si>
  <si>
    <t xml:space="preserve">EVV038</t>
  </si>
  <si>
    <t xml:space="preserve">ionTab licences + MDM</t>
  </si>
  <si>
    <t xml:space="preserve">lot</t>
  </si>
  <si>
    <t xml:space="preserve">Subtotal</t>
  </si>
  <si>
    <t xml:space="preserve">NETWORK AND RACK</t>
  </si>
  <si>
    <t xml:space="preserve">GAB</t>
  </si>
  <si>
    <t xml:space="preserve">42U communications rack (with 230 V)</t>
  </si>
  <si>
    <t xml:space="preserve">end of corridor · Wi-Fi network by others</t>
  </si>
  <si>
    <t xml:space="preserve">CABLING (model lengths + reserve, see Cables sheet)</t>
  </si>
  <si>
    <t xml:space="preserve">BUS</t>
  </si>
  <si>
    <t xml:space="preserve">2x2x0.8 mm bus (RS485 + 12-48 VDC) – PCB daisy chain (green)</t>
  </si>
  <si>
    <t xml:space="preserve">m</t>
  </si>
  <si>
    <t xml:space="preserve">model length + reserve</t>
  </si>
  <si>
    <t xml:space="preserve">UTP</t>
  </si>
  <si>
    <t xml:space="preserve">Radial call cable device → PCB (green)</t>
  </si>
  <si>
    <t xml:space="preserve">NET</t>
  </si>
  <si>
    <t xml:space="preserve">Cat6 – SmartHub and LVNS server in the rack (red)</t>
  </si>
  <si>
    <t xml:space="preserve">PWR</t>
  </si>
  <si>
    <t xml:space="preserve">Power 3x2.5 mm² LSZH – rack only (blue)</t>
  </si>
  <si>
    <t xml:space="preserve">INSTALLATION</t>
  </si>
  <si>
    <t xml:space="preserve">INS-EQ</t>
  </si>
  <si>
    <t xml:space="preserve">Mounting and connection of devices (panels, lights, pull-cords, PCB/LCom/BoxCom, tablets)</t>
  </si>
  <si>
    <t xml:space="preserve">sum of all devices</t>
  </si>
  <si>
    <t xml:space="preserve">INS-CAB</t>
  </si>
  <si>
    <t xml:space="preserve">Cable pulling in tray / ceiling, conduit and labelling</t>
  </si>
  <si>
    <t xml:space="preserve">sum of all cabling</t>
  </si>
  <si>
    <t xml:space="preserve">INS-RACK</t>
  </si>
  <si>
    <t xml:space="preserve">Rack assembly: switch, server, patch panel, UPS</t>
  </si>
  <si>
    <t xml:space="preserve">INS-PRG</t>
  </si>
  <si>
    <t xml:space="preserve">Programming, commissioning and testing of every call point</t>
  </si>
  <si>
    <t xml:space="preserve">INS-ASB</t>
  </si>
  <si>
    <t xml:space="preserve">As-built drawings and handover protocol</t>
  </si>
  <si>
    <t xml:space="preserve">TRAINING</t>
  </si>
  <si>
    <t xml:space="preserve">TR-USR</t>
  </si>
  <si>
    <t xml:space="preserve">Training for nursing / reception staff (daily use)</t>
  </si>
  <si>
    <t xml:space="preserve">session</t>
  </si>
  <si>
    <t xml:space="preserve">per shift</t>
  </si>
  <si>
    <t xml:space="preserve">TR-TEC</t>
  </si>
  <si>
    <t xml:space="preserve">Technical training for maintenance / IT</t>
  </si>
  <si>
    <t xml:space="preserve">TR-DOC</t>
  </si>
  <si>
    <t xml:space="preserve">User and technical manuals (ES / EN / HE)</t>
  </si>
  <si>
    <t xml:space="preserve">WARRANTY AND SERVICE</t>
  </si>
  <si>
    <t xml:space="preserve">GAR-EQ</t>
  </si>
  <si>
    <t xml:space="preserve">Equipment warranty</t>
  </si>
  <si>
    <t xml:space="preserve">year</t>
  </si>
  <si>
    <t xml:space="preserve">as per manufacturer</t>
  </si>
  <si>
    <t xml:space="preserve">GAR-INS</t>
  </si>
  <si>
    <t xml:space="preserve">Installation and workmanship warranty</t>
  </si>
  <si>
    <t xml:space="preserve">MNT</t>
  </si>
  <si>
    <t xml:space="preserve">Preventive maintenance and technical support (optional)</t>
  </si>
  <si>
    <t xml:space="preserve">optional</t>
  </si>
  <si>
    <t xml:space="preserve">HOSPITAL INFRASTRUCTURE (other trades)</t>
  </si>
  <si>
    <t xml:space="preserve">CT</t>
  </si>
  <si>
    <t xml:space="preserve">Bed-head unit (O₂/air/vacuum, 230 V, RJ45, light)</t>
  </si>
  <si>
    <t xml:space="preserve">—</t>
  </si>
  <si>
    <t xml:space="preserve">Hospital bed + bedside cabinet + overbed table</t>
  </si>
  <si>
    <t xml:space="preserve">U-shaped curtain track + fire-retardant curtains</t>
  </si>
  <si>
    <t xml:space="preserve">1 per room</t>
  </si>
  <si>
    <t xml:space="preserve">Fixed / folding grab bars, shower seat</t>
  </si>
  <si>
    <t xml:space="preserve">B2 · B3</t>
  </si>
  <si>
    <t xml:space="preserve">Subtotal incl. contingency</t>
  </si>
  <si>
    <t xml:space="preserve">TOTAL INCL. VAT</t>
  </si>
  <si>
    <t xml:space="preserve">Cables</t>
  </si>
  <si>
    <t xml:space="preserve">Reserve</t>
  </si>
  <si>
    <t xml:space="preserve">Round up to</t>
  </si>
  <si>
    <t xml:space="preserve">Calculated (m)</t>
  </si>
  <si>
    <t xml:space="preserve">Qty to buy (m)</t>
  </si>
  <si>
    <t xml:space="preserve">Notes</t>
  </si>
  <si>
    <t xml:space="preserve">1. Quantities taken from the project's 3D/2D model.</t>
  </si>
  <si>
    <t xml:space="preserve">2. Cable lengths measured along the drawn routes; reserve and rounding are set in the Cables sheet.</t>
  </si>
  <si>
    <t xml:space="preserve">3. Unit prices: fill in from the current Advantecnia / supplier price list (yellow cells).</t>
  </si>
  <si>
    <t xml:space="preserve">4. 5 % contingency and 18 % VAT are editable assumptions (BOQ sheet, cells C6 and C7).</t>
  </si>
  <si>
    <t xml:space="preserve">5. Preliminary quantities: verify on site before purchasing.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</si>
</sst>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#,##0.00;\(#,##0.00\);\-"/>
    <numFmt numFmtId="168" formatCode="0&quot; m&quot;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1"/>
        <bgColor rgb="FFF1F3F5"/>
      </patternFill>
    </fill>
    <fill>
      <patternFill patternType="solid">
        <fgColor rgb="FFF1F3F5"/>
        <bgColor rgb="FFE8ECF1"/>
      </patternFill>
    </fill>
    <fill>
      <patternFill patternType="solid">
        <fgColor rgb="FFFBE9DD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B5" s="4" t="s">
        <v>3</v>
      </c>
      <c r="C5" s="5" t="s">
        <v>4</v>
      </c>
      <c r="E5" s="6" t="s">
        <v>5</v>
      </c>
      <c r="F5" s="6"/>
      <c r="G5" s="6"/>
      <c r="H5" s="6"/>
    </row>
    <row r="6" customFormat="false" ht="15" hidden="false" customHeight="false" outlineLevel="0" collapsed="false">
      <c r="B6" s="4" t="s">
        <v>6</v>
      </c>
      <c r="C6" s="7" t="n">
        <v>0.05</v>
      </c>
      <c r="E6" s="6"/>
      <c r="F6" s="6"/>
      <c r="G6" s="6"/>
      <c r="H6" s="6"/>
    </row>
    <row r="7" customFormat="false" ht="15" hidden="false" customHeight="false" outlineLevel="0" collapsed="false">
      <c r="B7" s="4" t="s">
        <v>7</v>
      </c>
      <c r="C7" s="7" t="n">
        <v>0.18</v>
      </c>
      <c r="E7" s="6"/>
      <c r="F7" s="6"/>
      <c r="G7" s="6"/>
      <c r="H7" s="6"/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customFormat="false" ht="15" hidden="false" customHeight="false" outlineLevel="0" collapsed="false">
      <c r="A10" s="9" t="s">
        <v>16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0" t="n">
        <v>1</v>
      </c>
      <c r="B11" s="11" t="s">
        <v>17</v>
      </c>
      <c r="C11" s="12" t="s">
        <v>18</v>
      </c>
      <c r="D11" s="10" t="s">
        <v>19</v>
      </c>
      <c r="E11" s="13" t="n">
        <v>12</v>
      </c>
      <c r="F11" s="14"/>
      <c r="G11" s="15" t="n">
        <f aca="false">E11*F11</f>
        <v>0</v>
      </c>
      <c r="H11" s="12" t="s">
        <v>20</v>
      </c>
    </row>
    <row r="12" customFormat="false" ht="15" hidden="false" customHeight="false" outlineLevel="0" collapsed="false">
      <c r="A12" s="10" t="n">
        <v>2</v>
      </c>
      <c r="B12" s="11" t="s">
        <v>21</v>
      </c>
      <c r="C12" s="12" t="s">
        <v>22</v>
      </c>
      <c r="D12" s="10" t="s">
        <v>19</v>
      </c>
      <c r="E12" s="13" t="n">
        <v>12</v>
      </c>
      <c r="F12" s="14"/>
      <c r="G12" s="15" t="n">
        <f aca="false">E12*F12</f>
        <v>0</v>
      </c>
      <c r="H12" s="12" t="s">
        <v>23</v>
      </c>
    </row>
    <row r="13" customFormat="false" ht="15" hidden="false" customHeight="false" outlineLevel="0" collapsed="false">
      <c r="A13" s="10" t="n">
        <v>3</v>
      </c>
      <c r="B13" s="11" t="s">
        <v>24</v>
      </c>
      <c r="C13" s="12" t="s">
        <v>25</v>
      </c>
      <c r="D13" s="10" t="s">
        <v>19</v>
      </c>
      <c r="E13" s="13" t="n">
        <v>6</v>
      </c>
      <c r="F13" s="14"/>
      <c r="G13" s="15" t="n">
        <f aca="false">E13*F13</f>
        <v>0</v>
      </c>
      <c r="H13" s="12" t="s">
        <v>26</v>
      </c>
    </row>
    <row r="14" customFormat="false" ht="23.85" hidden="false" customHeight="false" outlineLevel="0" collapsed="false">
      <c r="A14" s="10" t="n">
        <v>4</v>
      </c>
      <c r="B14" s="11" t="s">
        <v>27</v>
      </c>
      <c r="C14" s="12" t="s">
        <v>28</v>
      </c>
      <c r="D14" s="10" t="s">
        <v>19</v>
      </c>
      <c r="E14" s="13" t="n">
        <v>7</v>
      </c>
      <c r="F14" s="14"/>
      <c r="G14" s="15" t="n">
        <f aca="false">E14*F14</f>
        <v>0</v>
      </c>
      <c r="H14" s="12" t="s">
        <v>29</v>
      </c>
    </row>
    <row r="15" customFormat="false" ht="15" hidden="false" customHeight="false" outlineLevel="0" collapsed="false">
      <c r="A15" s="10" t="n">
        <v>5</v>
      </c>
      <c r="B15" s="11" t="s">
        <v>30</v>
      </c>
      <c r="C15" s="12" t="s">
        <v>31</v>
      </c>
      <c r="D15" s="10" t="s">
        <v>19</v>
      </c>
      <c r="E15" s="13" t="n">
        <v>3</v>
      </c>
      <c r="F15" s="14"/>
      <c r="G15" s="15" t="n">
        <f aca="false">E15*F15</f>
        <v>0</v>
      </c>
      <c r="H15" s="12" t="s">
        <v>32</v>
      </c>
    </row>
    <row r="16" customFormat="false" ht="23.85" hidden="false" customHeight="false" outlineLevel="0" collapsed="false">
      <c r="A16" s="10" t="n">
        <v>6</v>
      </c>
      <c r="B16" s="11" t="s">
        <v>33</v>
      </c>
      <c r="C16" s="12" t="s">
        <v>34</v>
      </c>
      <c r="D16" s="10" t="s">
        <v>19</v>
      </c>
      <c r="E16" s="13" t="n">
        <v>11</v>
      </c>
      <c r="F16" s="14"/>
      <c r="G16" s="15" t="n">
        <f aca="false">E16*F16</f>
        <v>0</v>
      </c>
      <c r="H16" s="12" t="s">
        <v>35</v>
      </c>
    </row>
    <row r="17" customFormat="false" ht="15" hidden="false" customHeight="false" outlineLevel="0" collapsed="false">
      <c r="A17" s="10" t="n">
        <v>7</v>
      </c>
      <c r="B17" s="11" t="s">
        <v>36</v>
      </c>
      <c r="C17" s="12" t="s">
        <v>37</v>
      </c>
      <c r="D17" s="10" t="s">
        <v>19</v>
      </c>
      <c r="E17" s="13" t="n">
        <v>1</v>
      </c>
      <c r="F17" s="14"/>
      <c r="G17" s="15" t="n">
        <f aca="false">E17*F17</f>
        <v>0</v>
      </c>
      <c r="H17" s="12" t="s">
        <v>38</v>
      </c>
    </row>
    <row r="18" customFormat="false" ht="15" hidden="false" customHeight="false" outlineLevel="0" collapsed="false">
      <c r="A18" s="10" t="n">
        <v>8</v>
      </c>
      <c r="B18" s="11" t="s">
        <v>39</v>
      </c>
      <c r="C18" s="12" t="s">
        <v>40</v>
      </c>
      <c r="D18" s="10" t="s">
        <v>19</v>
      </c>
      <c r="E18" s="13" t="n">
        <v>1</v>
      </c>
      <c r="F18" s="14"/>
      <c r="G18" s="15" t="n">
        <f aca="false">E18*F18</f>
        <v>0</v>
      </c>
      <c r="H18" s="12" t="s">
        <v>38</v>
      </c>
    </row>
    <row r="19" customFormat="false" ht="23.85" hidden="false" customHeight="false" outlineLevel="0" collapsed="false">
      <c r="A19" s="10" t="n">
        <v>9</v>
      </c>
      <c r="B19" s="11" t="s">
        <v>41</v>
      </c>
      <c r="C19" s="12" t="s">
        <v>42</v>
      </c>
      <c r="D19" s="10" t="s">
        <v>19</v>
      </c>
      <c r="E19" s="13" t="n">
        <v>1</v>
      </c>
      <c r="F19" s="14"/>
      <c r="G19" s="15" t="n">
        <f aca="false">E19*F19</f>
        <v>0</v>
      </c>
      <c r="H19" s="12" t="s">
        <v>43</v>
      </c>
    </row>
    <row r="20" customFormat="false" ht="15" hidden="false" customHeight="false" outlineLevel="0" collapsed="false">
      <c r="A20" s="10" t="n">
        <v>10</v>
      </c>
      <c r="B20" s="11" t="s">
        <v>44</v>
      </c>
      <c r="C20" s="12" t="s">
        <v>45</v>
      </c>
      <c r="D20" s="10" t="s">
        <v>46</v>
      </c>
      <c r="E20" s="13" t="n">
        <v>1</v>
      </c>
      <c r="F20" s="14"/>
      <c r="G20" s="15" t="n">
        <f aca="false">E20*F20</f>
        <v>0</v>
      </c>
      <c r="H20" s="12"/>
    </row>
    <row r="21" customFormat="false" ht="15" hidden="false" customHeight="false" outlineLevel="0" collapsed="false">
      <c r="F21" s="16" t="s">
        <v>47</v>
      </c>
      <c r="G21" s="17" t="n">
        <f aca="false">SUM(G11:G20)</f>
        <v>0</v>
      </c>
    </row>
    <row r="23" customFormat="false" ht="15" hidden="false" customHeight="false" outlineLevel="0" collapsed="false">
      <c r="A23" s="9" t="s">
        <v>48</v>
      </c>
      <c r="B23" s="9"/>
      <c r="C23" s="9"/>
      <c r="D23" s="9"/>
      <c r="E23" s="9"/>
      <c r="F23" s="9"/>
      <c r="G23" s="9"/>
      <c r="H23" s="9"/>
    </row>
    <row r="24" customFormat="false" ht="23.85" hidden="false" customHeight="false" outlineLevel="0" collapsed="false">
      <c r="A24" s="10" t="n">
        <v>11</v>
      </c>
      <c r="B24" s="11" t="s">
        <v>49</v>
      </c>
      <c r="C24" s="12" t="s">
        <v>50</v>
      </c>
      <c r="D24" s="10" t="s">
        <v>19</v>
      </c>
      <c r="E24" s="13" t="n">
        <v>1</v>
      </c>
      <c r="F24" s="14"/>
      <c r="G24" s="15" t="n">
        <f aca="false">E24*F24</f>
        <v>0</v>
      </c>
      <c r="H24" s="12" t="s">
        <v>51</v>
      </c>
    </row>
    <row r="25" customFormat="false" ht="15" hidden="false" customHeight="false" outlineLevel="0" collapsed="false">
      <c r="F25" s="16" t="s">
        <v>47</v>
      </c>
      <c r="G25" s="17" t="n">
        <f aca="false">SUM(G24:G24)</f>
        <v>0</v>
      </c>
    </row>
    <row r="27" customFormat="false" ht="15" hidden="false" customHeight="false" outlineLevel="0" collapsed="false">
      <c r="A27" s="9" t="s">
        <v>52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0" collapsed="false">
      <c r="A28" s="10" t="n">
        <v>12</v>
      </c>
      <c r="B28" s="11" t="s">
        <v>53</v>
      </c>
      <c r="C28" s="12" t="s">
        <v>54</v>
      </c>
      <c r="D28" s="10" t="s">
        <v>55</v>
      </c>
      <c r="E28" s="18" t="n">
        <f aca="false">Cables!D8</f>
        <v>45</v>
      </c>
      <c r="F28" s="14"/>
      <c r="G28" s="15" t="n">
        <f aca="false">E28*F28</f>
        <v>0</v>
      </c>
      <c r="H28" s="12" t="s">
        <v>56</v>
      </c>
    </row>
    <row r="29" customFormat="false" ht="15" hidden="false" customHeight="false" outlineLevel="0" collapsed="false">
      <c r="A29" s="10" t="n">
        <v>13</v>
      </c>
      <c r="B29" s="11" t="s">
        <v>57</v>
      </c>
      <c r="C29" s="12" t="s">
        <v>58</v>
      </c>
      <c r="D29" s="10" t="s">
        <v>55</v>
      </c>
      <c r="E29" s="18" t="n">
        <f aca="false">Cables!D9</f>
        <v>190</v>
      </c>
      <c r="F29" s="14"/>
      <c r="G29" s="15" t="n">
        <f aca="false">E29*F29</f>
        <v>0</v>
      </c>
      <c r="H29" s="12" t="s">
        <v>56</v>
      </c>
    </row>
    <row r="30" customFormat="false" ht="15" hidden="false" customHeight="false" outlineLevel="0" collapsed="false">
      <c r="A30" s="10" t="n">
        <v>14</v>
      </c>
      <c r="B30" s="11" t="s">
        <v>59</v>
      </c>
      <c r="C30" s="12" t="s">
        <v>60</v>
      </c>
      <c r="D30" s="10" t="s">
        <v>55</v>
      </c>
      <c r="E30" s="18" t="n">
        <f aca="false">Cables!D10</f>
        <v>5</v>
      </c>
      <c r="F30" s="14"/>
      <c r="G30" s="15" t="n">
        <f aca="false">E30*F30</f>
        <v>0</v>
      </c>
      <c r="H30" s="12" t="s">
        <v>56</v>
      </c>
    </row>
    <row r="31" customFormat="false" ht="15" hidden="false" customHeight="false" outlineLevel="0" collapsed="false">
      <c r="A31" s="10" t="n">
        <v>15</v>
      </c>
      <c r="B31" s="11" t="s">
        <v>61</v>
      </c>
      <c r="C31" s="12" t="s">
        <v>62</v>
      </c>
      <c r="D31" s="10" t="s">
        <v>55</v>
      </c>
      <c r="E31" s="18" t="n">
        <f aca="false">Cables!D11</f>
        <v>10</v>
      </c>
      <c r="F31" s="14"/>
      <c r="G31" s="15" t="n">
        <f aca="false">E31*F31</f>
        <v>0</v>
      </c>
      <c r="H31" s="12" t="s">
        <v>56</v>
      </c>
    </row>
    <row r="32" customFormat="false" ht="15" hidden="false" customHeight="false" outlineLevel="0" collapsed="false">
      <c r="F32" s="16" t="s">
        <v>47</v>
      </c>
      <c r="G32" s="17" t="n">
        <f aca="false">SUM(G28:G31)</f>
        <v>0</v>
      </c>
    </row>
    <row r="34" customFormat="false" ht="15" hidden="false" customHeight="false" outlineLevel="0" collapsed="false">
      <c r="A34" s="9" t="s">
        <v>63</v>
      </c>
      <c r="B34" s="9"/>
      <c r="C34" s="9"/>
      <c r="D34" s="9"/>
      <c r="E34" s="9"/>
      <c r="F34" s="9"/>
      <c r="G34" s="9"/>
      <c r="H34" s="9"/>
    </row>
    <row r="35" customFormat="false" ht="23.85" hidden="false" customHeight="false" outlineLevel="0" collapsed="false">
      <c r="A35" s="10" t="n">
        <v>16</v>
      </c>
      <c r="B35" s="11" t="s">
        <v>64</v>
      </c>
      <c r="C35" s="12" t="s">
        <v>65</v>
      </c>
      <c r="D35" s="10" t="s">
        <v>19</v>
      </c>
      <c r="E35" s="19" t="n">
        <f aca="false">E11+E12+E13+E14+E15+E16+E19</f>
        <v>52</v>
      </c>
      <c r="F35" s="14"/>
      <c r="G35" s="15" t="n">
        <f aca="false">E35*F35</f>
        <v>0</v>
      </c>
      <c r="H35" s="12" t="s">
        <v>66</v>
      </c>
    </row>
    <row r="36" customFormat="false" ht="15" hidden="false" customHeight="false" outlineLevel="0" collapsed="false">
      <c r="A36" s="10" t="n">
        <v>17</v>
      </c>
      <c r="B36" s="11" t="s">
        <v>67</v>
      </c>
      <c r="C36" s="12" t="s">
        <v>68</v>
      </c>
      <c r="D36" s="10" t="s">
        <v>55</v>
      </c>
      <c r="E36" s="19" t="n">
        <f aca="false">E28+E29+E30+E31</f>
        <v>250</v>
      </c>
      <c r="F36" s="14"/>
      <c r="G36" s="15" t="n">
        <f aca="false">E36*F36</f>
        <v>0</v>
      </c>
      <c r="H36" s="12" t="s">
        <v>69</v>
      </c>
    </row>
    <row r="37" customFormat="false" ht="15" hidden="false" customHeight="false" outlineLevel="0" collapsed="false">
      <c r="A37" s="10" t="n">
        <v>18</v>
      </c>
      <c r="B37" s="11" t="s">
        <v>70</v>
      </c>
      <c r="C37" s="12" t="s">
        <v>71</v>
      </c>
      <c r="D37" s="10" t="s">
        <v>46</v>
      </c>
      <c r="E37" s="13" t="n">
        <v>1</v>
      </c>
      <c r="F37" s="14"/>
      <c r="G37" s="15" t="n">
        <f aca="false">E37*F37</f>
        <v>0</v>
      </c>
      <c r="H37" s="12"/>
    </row>
    <row r="38" customFormat="false" ht="15" hidden="false" customHeight="false" outlineLevel="0" collapsed="false">
      <c r="A38" s="10" t="n">
        <v>19</v>
      </c>
      <c r="B38" s="11" t="s">
        <v>72</v>
      </c>
      <c r="C38" s="12" t="s">
        <v>73</v>
      </c>
      <c r="D38" s="10" t="s">
        <v>46</v>
      </c>
      <c r="E38" s="13" t="n">
        <v>1</v>
      </c>
      <c r="F38" s="14"/>
      <c r="G38" s="15" t="n">
        <f aca="false">E38*F38</f>
        <v>0</v>
      </c>
      <c r="H38" s="12"/>
    </row>
    <row r="39" customFormat="false" ht="15" hidden="false" customHeight="false" outlineLevel="0" collapsed="false">
      <c r="A39" s="10" t="n">
        <v>20</v>
      </c>
      <c r="B39" s="11" t="s">
        <v>74</v>
      </c>
      <c r="C39" s="12" t="s">
        <v>75</v>
      </c>
      <c r="D39" s="10" t="s">
        <v>46</v>
      </c>
      <c r="E39" s="13" t="n">
        <v>1</v>
      </c>
      <c r="F39" s="14"/>
      <c r="G39" s="15" t="n">
        <f aca="false">E39*F39</f>
        <v>0</v>
      </c>
      <c r="H39" s="12"/>
    </row>
    <row r="40" customFormat="false" ht="15" hidden="false" customHeight="false" outlineLevel="0" collapsed="false">
      <c r="F40" s="16" t="s">
        <v>47</v>
      </c>
      <c r="G40" s="17" t="n">
        <f aca="false">SUM(G35:G39)</f>
        <v>0</v>
      </c>
    </row>
    <row r="42" customFormat="false" ht="15" hidden="false" customHeight="false" outlineLevel="0" collapsed="false">
      <c r="A42" s="9" t="s">
        <v>76</v>
      </c>
      <c r="B42" s="9"/>
      <c r="C42" s="9"/>
      <c r="D42" s="9"/>
      <c r="E42" s="9"/>
      <c r="F42" s="9"/>
      <c r="G42" s="9"/>
      <c r="H42" s="9"/>
    </row>
    <row r="43" customFormat="false" ht="15" hidden="false" customHeight="false" outlineLevel="0" collapsed="false">
      <c r="A43" s="10" t="n">
        <v>21</v>
      </c>
      <c r="B43" s="11" t="s">
        <v>77</v>
      </c>
      <c r="C43" s="12" t="s">
        <v>78</v>
      </c>
      <c r="D43" s="10" t="s">
        <v>79</v>
      </c>
      <c r="E43" s="13" t="n">
        <v>2</v>
      </c>
      <c r="F43" s="14"/>
      <c r="G43" s="15" t="n">
        <f aca="false">E43*F43</f>
        <v>0</v>
      </c>
      <c r="H43" s="12" t="s">
        <v>80</v>
      </c>
    </row>
    <row r="44" customFormat="false" ht="15" hidden="false" customHeight="false" outlineLevel="0" collapsed="false">
      <c r="A44" s="10" t="n">
        <v>22</v>
      </c>
      <c r="B44" s="11" t="s">
        <v>81</v>
      </c>
      <c r="C44" s="12" t="s">
        <v>82</v>
      </c>
      <c r="D44" s="10" t="s">
        <v>79</v>
      </c>
      <c r="E44" s="13" t="n">
        <v>1</v>
      </c>
      <c r="F44" s="14"/>
      <c r="G44" s="15" t="n">
        <f aca="false">E44*F44</f>
        <v>0</v>
      </c>
      <c r="H44" s="12"/>
    </row>
    <row r="45" customFormat="false" ht="15" hidden="false" customHeight="false" outlineLevel="0" collapsed="false">
      <c r="A45" s="10" t="n">
        <v>23</v>
      </c>
      <c r="B45" s="11" t="s">
        <v>83</v>
      </c>
      <c r="C45" s="12" t="s">
        <v>84</v>
      </c>
      <c r="D45" s="10" t="s">
        <v>46</v>
      </c>
      <c r="E45" s="13" t="n">
        <v>1</v>
      </c>
      <c r="F45" s="14"/>
      <c r="G45" s="15" t="n">
        <f aca="false">E45*F45</f>
        <v>0</v>
      </c>
      <c r="H45" s="12"/>
    </row>
    <row r="46" customFormat="false" ht="15" hidden="false" customHeight="false" outlineLevel="0" collapsed="false">
      <c r="F46" s="16" t="s">
        <v>47</v>
      </c>
      <c r="G46" s="17" t="n">
        <f aca="false">SUM(G43:G45)</f>
        <v>0</v>
      </c>
    </row>
    <row r="48" customFormat="false" ht="15" hidden="false" customHeight="false" outlineLevel="0" collapsed="false">
      <c r="A48" s="9" t="s">
        <v>85</v>
      </c>
      <c r="B48" s="9"/>
      <c r="C48" s="9"/>
      <c r="D48" s="9"/>
      <c r="E48" s="9"/>
      <c r="F48" s="9"/>
      <c r="G48" s="9"/>
      <c r="H48" s="9"/>
    </row>
    <row r="49" customFormat="false" ht="15" hidden="false" customHeight="false" outlineLevel="0" collapsed="false">
      <c r="A49" s="10" t="n">
        <v>24</v>
      </c>
      <c r="B49" s="11" t="s">
        <v>86</v>
      </c>
      <c r="C49" s="12" t="s">
        <v>87</v>
      </c>
      <c r="D49" s="10" t="s">
        <v>88</v>
      </c>
      <c r="E49" s="13" t="n">
        <v>1</v>
      </c>
      <c r="F49" s="14"/>
      <c r="G49" s="15" t="n">
        <f aca="false">E49*F49</f>
        <v>0</v>
      </c>
      <c r="H49" s="12" t="s">
        <v>89</v>
      </c>
    </row>
    <row r="50" customFormat="false" ht="15" hidden="false" customHeight="false" outlineLevel="0" collapsed="false">
      <c r="A50" s="10" t="n">
        <v>25</v>
      </c>
      <c r="B50" s="11" t="s">
        <v>90</v>
      </c>
      <c r="C50" s="12" t="s">
        <v>91</v>
      </c>
      <c r="D50" s="10" t="s">
        <v>88</v>
      </c>
      <c r="E50" s="13" t="n">
        <v>1</v>
      </c>
      <c r="F50" s="14"/>
      <c r="G50" s="15" t="n">
        <f aca="false">E50*F50</f>
        <v>0</v>
      </c>
      <c r="H50" s="12"/>
    </row>
    <row r="51" customFormat="false" ht="15" hidden="false" customHeight="false" outlineLevel="0" collapsed="false">
      <c r="A51" s="10" t="n">
        <v>26</v>
      </c>
      <c r="B51" s="11" t="s">
        <v>92</v>
      </c>
      <c r="C51" s="12" t="s">
        <v>93</v>
      </c>
      <c r="D51" s="10" t="s">
        <v>88</v>
      </c>
      <c r="E51" s="13" t="n">
        <v>1</v>
      </c>
      <c r="F51" s="14"/>
      <c r="G51" s="15" t="n">
        <f aca="false">E51*F51</f>
        <v>0</v>
      </c>
      <c r="H51" s="12" t="s">
        <v>94</v>
      </c>
    </row>
    <row r="52" customFormat="false" ht="15" hidden="false" customHeight="false" outlineLevel="0" collapsed="false">
      <c r="F52" s="16" t="s">
        <v>47</v>
      </c>
      <c r="G52" s="17" t="n">
        <f aca="false">SUM(G49:G51)</f>
        <v>0</v>
      </c>
    </row>
    <row r="54" customFormat="false" ht="15" hidden="false" customHeight="false" outlineLevel="0" collapsed="false">
      <c r="A54" s="9" t="s">
        <v>95</v>
      </c>
      <c r="B54" s="9"/>
      <c r="C54" s="9"/>
      <c r="D54" s="9"/>
      <c r="E54" s="9"/>
      <c r="F54" s="9"/>
      <c r="G54" s="9"/>
      <c r="H54" s="9"/>
    </row>
    <row r="55" customFormat="false" ht="15" hidden="false" customHeight="false" outlineLevel="0" collapsed="false">
      <c r="A55" s="10" t="n">
        <v>27</v>
      </c>
      <c r="B55" s="11" t="s">
        <v>96</v>
      </c>
      <c r="C55" s="12" t="s">
        <v>97</v>
      </c>
      <c r="D55" s="10" t="s">
        <v>19</v>
      </c>
      <c r="E55" s="13" t="n">
        <v>12</v>
      </c>
      <c r="F55" s="14"/>
      <c r="G55" s="15" t="n">
        <f aca="false">E55*F55</f>
        <v>0</v>
      </c>
      <c r="H55" s="12" t="s">
        <v>23</v>
      </c>
    </row>
    <row r="56" customFormat="false" ht="15" hidden="false" customHeight="false" outlineLevel="0" collapsed="false">
      <c r="A56" s="10" t="n">
        <v>28</v>
      </c>
      <c r="B56" s="11" t="s">
        <v>98</v>
      </c>
      <c r="C56" s="12" t="s">
        <v>99</v>
      </c>
      <c r="D56" s="10" t="s">
        <v>19</v>
      </c>
      <c r="E56" s="13" t="n">
        <v>12</v>
      </c>
      <c r="F56" s="14"/>
      <c r="G56" s="15" t="n">
        <f aca="false">E56*F56</f>
        <v>0</v>
      </c>
      <c r="H56" s="12"/>
    </row>
    <row r="57" customFormat="false" ht="15" hidden="false" customHeight="false" outlineLevel="0" collapsed="false">
      <c r="A57" s="10" t="n">
        <v>29</v>
      </c>
      <c r="B57" s="11" t="s">
        <v>98</v>
      </c>
      <c r="C57" s="12" t="s">
        <v>100</v>
      </c>
      <c r="D57" s="10" t="s">
        <v>46</v>
      </c>
      <c r="E57" s="13" t="n">
        <v>4</v>
      </c>
      <c r="F57" s="14"/>
      <c r="G57" s="15" t="n">
        <f aca="false">E57*F57</f>
        <v>0</v>
      </c>
      <c r="H57" s="12" t="s">
        <v>101</v>
      </c>
    </row>
    <row r="58" customFormat="false" ht="15" hidden="false" customHeight="false" outlineLevel="0" collapsed="false">
      <c r="A58" s="10" t="n">
        <v>30</v>
      </c>
      <c r="B58" s="11" t="s">
        <v>98</v>
      </c>
      <c r="C58" s="12" t="s">
        <v>102</v>
      </c>
      <c r="D58" s="10" t="s">
        <v>46</v>
      </c>
      <c r="E58" s="13" t="n">
        <v>1</v>
      </c>
      <c r="F58" s="14"/>
      <c r="G58" s="15" t="n">
        <f aca="false">E58*F58</f>
        <v>0</v>
      </c>
      <c r="H58" s="12" t="s">
        <v>103</v>
      </c>
    </row>
    <row r="59" customFormat="false" ht="15" hidden="false" customHeight="false" outlineLevel="0" collapsed="false">
      <c r="F59" s="16" t="s">
        <v>47</v>
      </c>
      <c r="G59" s="17" t="n">
        <f aca="false">SUM(G55:G58)</f>
        <v>0</v>
      </c>
    </row>
    <row r="61" customFormat="false" ht="15" hidden="false" customHeight="false" outlineLevel="0" collapsed="false">
      <c r="F61" s="4" t="s">
        <v>47</v>
      </c>
      <c r="G61" s="17" t="n">
        <f aca="false">G21+G25+G32+G40+G46+G52+G59</f>
        <v>0</v>
      </c>
    </row>
    <row r="62" customFormat="false" ht="15" hidden="false" customHeight="false" outlineLevel="0" collapsed="false">
      <c r="F62" s="4" t="s">
        <v>6</v>
      </c>
      <c r="G62" s="15" t="n">
        <f aca="false">G61*$C$6</f>
        <v>0</v>
      </c>
    </row>
    <row r="63" customFormat="false" ht="23.85" hidden="false" customHeight="false" outlineLevel="0" collapsed="false">
      <c r="F63" s="20" t="s">
        <v>104</v>
      </c>
      <c r="G63" s="17" t="n">
        <f aca="false">G61+G62</f>
        <v>0</v>
      </c>
    </row>
    <row r="64" customFormat="false" ht="15" hidden="false" customHeight="false" outlineLevel="0" collapsed="false">
      <c r="F64" s="4" t="s">
        <v>7</v>
      </c>
      <c r="G64" s="15" t="n">
        <f aca="false">G63*$C$7</f>
        <v>0</v>
      </c>
    </row>
    <row r="65" customFormat="false" ht="15" hidden="false" customHeight="false" outlineLevel="0" collapsed="false">
      <c r="F65" s="21" t="s">
        <v>105</v>
      </c>
      <c r="G65" s="22" t="n">
        <f aca="false">G63+G64</f>
        <v>0</v>
      </c>
    </row>
  </sheetData>
  <mergeCells count="8">
    <mergeCell ref="E5:H7"/>
    <mergeCell ref="A10:H10"/>
    <mergeCell ref="A23:H23"/>
    <mergeCell ref="A27:H27"/>
    <mergeCell ref="A34:H34"/>
    <mergeCell ref="A42:H42"/>
    <mergeCell ref="A48:H48"/>
    <mergeCell ref="A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23" t="s">
        <v>106</v>
      </c>
    </row>
    <row r="3" customFormat="false" ht="15" hidden="false" customHeight="false" outlineLevel="0" collapsed="false">
      <c r="A3" s="4" t="s">
        <v>107</v>
      </c>
      <c r="B3" s="7" t="n">
        <v>0.15</v>
      </c>
    </row>
    <row r="4" customFormat="false" ht="15" hidden="false" customHeight="false" outlineLevel="0" collapsed="false">
      <c r="A4" s="4" t="s">
        <v>108</v>
      </c>
      <c r="B4" s="24" t="n">
        <v>5</v>
      </c>
    </row>
    <row r="7" customFormat="false" ht="30" hidden="false" customHeight="true" outlineLevel="0" collapsed="false">
      <c r="A7" s="25" t="s">
        <v>9</v>
      </c>
      <c r="B7" s="25" t="s">
        <v>10</v>
      </c>
      <c r="C7" s="25" t="s">
        <v>109</v>
      </c>
      <c r="D7" s="25" t="s">
        <v>110</v>
      </c>
    </row>
    <row r="8" customFormat="false" ht="15" hidden="false" customHeight="false" outlineLevel="0" collapsed="false">
      <c r="A8" s="11" t="s">
        <v>53</v>
      </c>
      <c r="B8" s="12" t="s">
        <v>54</v>
      </c>
      <c r="C8" s="26" t="n">
        <v>35.8</v>
      </c>
      <c r="D8" s="27" t="n">
        <f aca="false">ROUNDUP(C8*(1+$B$3)/$B$4,0)*$B$4</f>
        <v>45</v>
      </c>
    </row>
    <row r="9" customFormat="false" ht="15" hidden="false" customHeight="false" outlineLevel="0" collapsed="false">
      <c r="A9" s="11" t="s">
        <v>57</v>
      </c>
      <c r="B9" s="12" t="s">
        <v>58</v>
      </c>
      <c r="C9" s="26" t="n">
        <v>161</v>
      </c>
      <c r="D9" s="27" t="n">
        <f aca="false">ROUNDUP(C9*(1+$B$3)/$B$4,0)*$B$4</f>
        <v>190</v>
      </c>
    </row>
    <row r="10" customFormat="false" ht="15" hidden="false" customHeight="false" outlineLevel="0" collapsed="false">
      <c r="A10" s="11" t="s">
        <v>59</v>
      </c>
      <c r="B10" s="12" t="s">
        <v>60</v>
      </c>
      <c r="C10" s="26" t="n">
        <v>1.8</v>
      </c>
      <c r="D10" s="27" t="n">
        <f aca="false">ROUNDUP(C10*(1+$B$3)/$B$4,0)*$B$4</f>
        <v>5</v>
      </c>
    </row>
    <row r="11" customFormat="false" ht="15" hidden="false" customHeight="false" outlineLevel="0" collapsed="false">
      <c r="A11" s="11" t="s">
        <v>61</v>
      </c>
      <c r="B11" s="12" t="s">
        <v>62</v>
      </c>
      <c r="C11" s="26" t="n">
        <v>5.5</v>
      </c>
      <c r="D11" s="27" t="n">
        <f aca="false">ROUNDUP(C11*(1+$B$3)/$B$4,0)*$B$4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3" t="s">
        <v>111</v>
      </c>
    </row>
    <row r="3" customFormat="false" ht="15" hidden="false" customHeight="false" outlineLevel="0" collapsed="false">
      <c r="A3" s="28" t="s">
        <v>112</v>
      </c>
    </row>
    <row r="4" customFormat="false" ht="15" hidden="false" customHeight="false" outlineLevel="0" collapsed="false">
      <c r="A4" s="28" t="s">
        <v>113</v>
      </c>
    </row>
    <row r="5" customFormat="false" ht="15" hidden="false" customHeight="false" outlineLevel="0" collapsed="false">
      <c r="A5" s="28" t="s">
        <v>114</v>
      </c>
    </row>
    <row r="6" customFormat="false" ht="15" hidden="false" customHeight="false" outlineLevel="0" collapsed="false">
      <c r="A6" s="28" t="s">
        <v>115</v>
      </c>
    </row>
    <row r="7" customFormat="false" ht="15" hidden="false" customHeight="false" outlineLevel="0" collapsed="false">
      <c r="A7" s="2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2026-10-23T08:25:59Z</dcterms:created>
  <dc:creator>openpyxl</dc:creator>
  <dc:description/>
  <dc:language>en-US</dc:language>
  <cp:lastModifiedBy/>
  <dcterms:modified xsi:type="dcterms:W3CDTF">2026-10-23T08:25:59Z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