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כתב כמויות" sheetId="1" state="visible" r:id="rId3"/>
    <sheet name="כבלים" sheetId="2" state="visible" r:id="rId4"/>
    <sheet name="הערות" sheetId="3" state="visible" r:id="rId5"/>
  </sheets>
  <definedNames>
    <definedName function="false" hidden="false" localSheetId="0" name="_xlnm.Print_Titles" vbProcedure="false">'כתב כמויות'!$9:$9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FreeSans"/>
            <family val="2"/>
          </rPr>
          <t xml:space="preserve">הנחה: </t>
        </r>
        <r>
          <rPr>
            <sz val="10"/>
            <rFont val="Arial"/>
            <family val="2"/>
          </rPr>
          <t xml:space="preserve">5% בלתי צפוי. לעדכן.</t>
        </r>
      </text>
    </comment>
    <comment ref="C7" authorId="0">
      <text>
        <r>
          <rPr>
            <sz val="10"/>
            <rFont val="FreeSans"/>
            <family val="2"/>
          </rPr>
          <t xml:space="preserve">מע"מ </t>
        </r>
        <r>
          <rPr>
            <sz val="10"/>
            <rFont val="Arial"/>
            <family val="2"/>
          </rPr>
          <t xml:space="preserve">18% (מ-01/2025). 0% אם לא רלוונטי.</t>
        </r>
      </text>
    </comment>
  </commentList>
</comments>
</file>

<file path=xl/sharedStrings.xml><?xml version="1.0" encoding="utf-8"?>
<sst xmlns="http://schemas.openxmlformats.org/spreadsheetml/2006/main" count="120" uniqueCount="85">
  <si>
    <t xml:space="preserve">כתב כמויות ותקציב</t>
  </si>
  <si>
    <t xml:space="preserve">המרכז הרפואי יוספטל, אילת – מחלקת אשפוז · קריאת אחות (REV04)</t>
  </si>
  <si>
    <t xml:space="preserve">לקוח: ACE BG · Advantecnia      תאריך: 23/10/2026</t>
  </si>
  <si>
    <t xml:space="preserve">מטבע</t>
  </si>
  <si>
    <t xml:space="preserve">₪ ILS</t>
  </si>
  <si>
    <t xml:space="preserve">תאים צהובים = למילוי (מחירי יחידה). טקסט כחול = נתוני קלט; שחור = נוסחאות; ירוק = קישור לגיליון אחר.</t>
  </si>
  <si>
    <t xml:space="preserve">בלתי צפוי</t>
  </si>
  <si>
    <t xml:space="preserve">מע"מ (ישראל)</t>
  </si>
  <si>
    <t xml:space="preserve">#</t>
  </si>
  <si>
    <t xml:space="preserve">קוד</t>
  </si>
  <si>
    <t xml:space="preserve">תיאור</t>
  </si>
  <si>
    <t xml:space="preserve">יחידה</t>
  </si>
  <si>
    <t xml:space="preserve">כמות</t>
  </si>
  <si>
    <t xml:space="preserve">מחיר ליחידה</t>
  </si>
  <si>
    <t xml:space="preserve">סה"כ</t>
  </si>
  <si>
    <t xml:space="preserve">הערה</t>
  </si>
  <si>
    <t xml:space="preserve">ADVANTECNIA / ACE BG – קריאת אחות</t>
  </si>
  <si>
    <t xml:space="preserve">ACE82012153</t>
  </si>
  <si>
    <t xml:space="preserve">לחצן קריאה אדום למיטה + שקע בייונט</t>
  </si>
  <si>
    <t xml:space="preserve">יח'</t>
  </si>
  <si>
    <t xml:space="preserve">1 לכל מיטה · גובה 1.15 מ'</t>
  </si>
  <si>
    <t xml:space="preserve">ACE39060521</t>
  </si>
  <si>
    <t xml:space="preserve">אגס קריאה (כבל 2 מ' לבייונט)</t>
  </si>
  <si>
    <t xml:space="preserve">1 לכל מיטה</t>
  </si>
  <si>
    <t xml:space="preserve">ACE82082137</t>
  </si>
  <si>
    <t xml:space="preserve">נוכחות / ביטול</t>
  </si>
  <si>
    <t xml:space="preserve">4 חדרים + 2 שירותים · גובה 1.35 מ'</t>
  </si>
  <si>
    <t xml:space="preserve">EOP004</t>
  </si>
  <si>
    <t xml:space="preserve">מנורת מסדרון (אדום · ירוק · כחול)</t>
  </si>
  <si>
    <t xml:space="preserve">4 חדרים + B3 ×2 + B2 · גובה 2.42 מ'</t>
  </si>
  <si>
    <t xml:space="preserve">ACE40320303</t>
  </si>
  <si>
    <t xml:space="preserve">משיכת SOS בשירותים / מקלחת</t>
  </si>
  <si>
    <t xml:space="preserve">B2 ×1 · B3 ×2 · גובה 1.85 מ'</t>
  </si>
  <si>
    <t xml:space="preserve">ECV169</t>
  </si>
  <si>
    <t xml:space="preserve">כרטיס PCB 24 פינים 12-48V (Room Controller)</t>
  </si>
  <si>
    <t xml:space="preserve">#1-#8 חדרים · #9-#10 B3 · #11 B2 (תקרת המסדרון)</t>
  </si>
  <si>
    <t xml:space="preserve">EVV049</t>
  </si>
  <si>
    <t xml:space="preserve">SmartHub connectia (Raspberry Pi)</t>
  </si>
  <si>
    <t xml:space="preserve">בארון</t>
  </si>
  <si>
    <t xml:space="preserve">EOP006</t>
  </si>
  <si>
    <t xml:space="preserve">שרת LVNS</t>
  </si>
  <si>
    <t xml:space="preserve">EOP002</t>
  </si>
  <si>
    <t xml:space="preserve">iPad 10.9" לעמדת אחות (Wi-Fi)</t>
  </si>
  <si>
    <t xml:space="preserve">עמדת אחות · מקבל ומטפל בכל הקריאות</t>
  </si>
  <si>
    <t xml:space="preserve">EVV038</t>
  </si>
  <si>
    <t xml:space="preserve">רישיונות ionTab + MDM</t>
  </si>
  <si>
    <t xml:space="preserve">קומפלט</t>
  </si>
  <si>
    <t xml:space="preserve">רשת וארון</t>
  </si>
  <si>
    <t xml:space="preserve">GAB</t>
  </si>
  <si>
    <t xml:space="preserve">ארון תקשורת 42U (עם 230V)</t>
  </si>
  <si>
    <t xml:space="preserve">סוף המסדרון · רשת Wi-Fi ע"י אחרים</t>
  </si>
  <si>
    <t xml:space="preserve">כבלים (+ רזרבה, ראה גיליון כבלים)</t>
  </si>
  <si>
    <t xml:space="preserve">BUS</t>
  </si>
  <si>
    <t xml:space="preserve">BUS 2x2x0.8 (RS485 + 12-48VDC) – שרשרת כרטיסים (ירוק)</t>
  </si>
  <si>
    <t xml:space="preserve">מ'</t>
  </si>
  <si>
    <t xml:space="preserve">אורך מהמודל + רזרבה</t>
  </si>
  <si>
    <t xml:space="preserve">UTP</t>
  </si>
  <si>
    <t xml:space="preserve">כבל קריאה רדיאלי התקן ← כרטיס (ירוק)</t>
  </si>
  <si>
    <t xml:space="preserve">NET</t>
  </si>
  <si>
    <t xml:space="preserve">Cat6 – SmartHub ושרת LVNS בארון (אדום)</t>
  </si>
  <si>
    <t xml:space="preserve">PWR</t>
  </si>
  <si>
    <t xml:space="preserve">חשמל 3x2.5 ממ"ר LSZH – לארון בלבד (כחול)</t>
  </si>
  <si>
    <t xml:space="preserve">תשתית בית חולים (מקצועות אחרים)</t>
  </si>
  <si>
    <t xml:space="preserve">CT</t>
  </si>
  <si>
    <t xml:space="preserve">קונסולת מיטה (חמצן/אוויר/ואקום, 230V, RJ45, תאורה)</t>
  </si>
  <si>
    <t xml:space="preserve">—</t>
  </si>
  <si>
    <t xml:space="preserve">מיטת בית חולים + שידה + שולחן אוכל</t>
  </si>
  <si>
    <t xml:space="preserve">מסילת וילון U + וילונות חסיני אש</t>
  </si>
  <si>
    <t xml:space="preserve">1 לכל חדר</t>
  </si>
  <si>
    <t xml:space="preserve">מאחזי יד קבועים / מתקפלים, מושב מקלחת</t>
  </si>
  <si>
    <t xml:space="preserve">B2 · B3</t>
  </si>
  <si>
    <t xml:space="preserve">סכום ביניים</t>
  </si>
  <si>
    <t xml:space="preserve">סכום ביניים כולל בלתי צפוי</t>
  </si>
  <si>
    <t xml:space="preserve">סה"כ כולל מע"מ</t>
  </si>
  <si>
    <t xml:space="preserve">כבלים</t>
  </si>
  <si>
    <t xml:space="preserve">רזרבה</t>
  </si>
  <si>
    <t xml:space="preserve">עיגול כלפי מעלה ל-</t>
  </si>
  <si>
    <t xml:space="preserve">מחושב (מ')</t>
  </si>
  <si>
    <t xml:space="preserve">כמות לרכישה (מ')</t>
  </si>
  <si>
    <t xml:space="preserve">הערות</t>
  </si>
  <si>
    <t xml:space="preserve">1. הכמויות חושבו מהמודל התלת-ממדי/הדו-ממדי של הפרויקט.</t>
  </si>
  <si>
    <t xml:space="preserve">2. אורכי הכבלים נמדדו לאורך התוואי המשורטט; רזרבה ועיגול נקבעים בגיליון הכבלים.</t>
  </si>
  <si>
    <t xml:space="preserve">3. מחירי יחידה: למלא לפי מחירון Advantecnia / ספקים בתוקף (תאים צהובים).</t>
  </si>
  <si>
    <t xml:space="preserve">4. בלתי צפוי 5% ומע"מ 18% הם הנחות הניתנות לעריכה (גיליון כתב כמויות, תאים C6 ו-C7).</t>
  </si>
  <si>
    <t xml:space="preserve">5. כמויות בשלב תכנון מוקדם: לאמת באתר לפני רכישה.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</si>
</sst>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;\(0.0%\);\-"/>
    <numFmt numFmtId="166" formatCode="#,##0;\(#,##0\);\-"/>
    <numFmt numFmtId="167" formatCode="#,##0.00;\(#,##0.00\);\-"/>
    <numFmt numFmtId="168" formatCode="0&quot; m&quot;"/>
    <numFmt numFmtId="169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  <font>
      <b val="true"/>
      <sz val="1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8ECF1"/>
        <bgColor rgb="FFF1F3F5"/>
      </patternFill>
    </fill>
    <fill>
      <patternFill patternType="solid">
        <fgColor rgb="FFF1F3F5"/>
        <bgColor rgb="FFE8ECF1"/>
      </patternFill>
    </fill>
    <fill>
      <patternFill patternType="solid">
        <fgColor rgb="FFFBE9DD"/>
        <bgColor rgb="FFF1F3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1F3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9DD"/>
      <rgbColor rgb="FFE8ECF1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58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true" outlineLevel="0" collapsed="false">
      <c r="B5" s="4" t="s">
        <v>3</v>
      </c>
      <c r="C5" s="5" t="s">
        <v>4</v>
      </c>
      <c r="E5" s="6" t="s">
        <v>5</v>
      </c>
      <c r="F5" s="6"/>
      <c r="G5" s="6"/>
      <c r="H5" s="6"/>
    </row>
    <row r="6" customFormat="false" ht="15" hidden="false" customHeight="false" outlineLevel="0" collapsed="false">
      <c r="B6" s="4" t="s">
        <v>6</v>
      </c>
      <c r="C6" s="7" t="n">
        <v>0.05</v>
      </c>
      <c r="E6" s="6"/>
      <c r="F6" s="6"/>
      <c r="G6" s="6"/>
      <c r="H6" s="6"/>
    </row>
    <row r="7" customFormat="false" ht="15" hidden="false" customHeight="false" outlineLevel="0" collapsed="false">
      <c r="B7" s="4" t="s">
        <v>7</v>
      </c>
      <c r="C7" s="7" t="n">
        <v>0.18</v>
      </c>
      <c r="E7" s="6"/>
      <c r="F7" s="6"/>
      <c r="G7" s="6"/>
      <c r="H7" s="6"/>
    </row>
    <row r="9" customFormat="false" ht="15" hidden="false" customHeight="false" outlineLevel="0" collapsed="false">
      <c r="A9" s="8" t="s">
        <v>8</v>
      </c>
      <c r="B9" s="8" t="s">
        <v>9</v>
      </c>
      <c r="C9" s="8" t="s">
        <v>10</v>
      </c>
      <c r="D9" s="8" t="s">
        <v>11</v>
      </c>
      <c r="E9" s="8" t="s">
        <v>12</v>
      </c>
      <c r="F9" s="8" t="s">
        <v>13</v>
      </c>
      <c r="G9" s="8" t="s">
        <v>14</v>
      </c>
      <c r="H9" s="8" t="s">
        <v>15</v>
      </c>
    </row>
    <row r="10" customFormat="false" ht="12.65" hidden="false" customHeight="false" outlineLevel="0" collapsed="false">
      <c r="A10" s="9" t="s">
        <v>16</v>
      </c>
      <c r="B10" s="9"/>
      <c r="C10" s="9"/>
      <c r="D10" s="9"/>
      <c r="E10" s="9"/>
      <c r="F10" s="9"/>
      <c r="G10" s="9"/>
      <c r="H10" s="9"/>
    </row>
    <row r="11" customFormat="false" ht="15" hidden="false" customHeight="false" outlineLevel="0" collapsed="false">
      <c r="A11" s="10" t="n">
        <v>1</v>
      </c>
      <c r="B11" s="11" t="s">
        <v>17</v>
      </c>
      <c r="C11" s="12" t="s">
        <v>18</v>
      </c>
      <c r="D11" s="10" t="s">
        <v>19</v>
      </c>
      <c r="E11" s="13" t="n">
        <v>12</v>
      </c>
      <c r="F11" s="14"/>
      <c r="G11" s="15" t="n">
        <f aca="false">E11*F11</f>
        <v>0</v>
      </c>
      <c r="H11" s="12" t="s">
        <v>20</v>
      </c>
    </row>
    <row r="12" customFormat="false" ht="15" hidden="false" customHeight="false" outlineLevel="0" collapsed="false">
      <c r="A12" s="10" t="n">
        <v>2</v>
      </c>
      <c r="B12" s="11" t="s">
        <v>21</v>
      </c>
      <c r="C12" s="12" t="s">
        <v>22</v>
      </c>
      <c r="D12" s="10" t="s">
        <v>19</v>
      </c>
      <c r="E12" s="13" t="n">
        <v>12</v>
      </c>
      <c r="F12" s="14"/>
      <c r="G12" s="15" t="n">
        <f aca="false">E12*F12</f>
        <v>0</v>
      </c>
      <c r="H12" s="12" t="s">
        <v>23</v>
      </c>
    </row>
    <row r="13" customFormat="false" ht="23.85" hidden="false" customHeight="false" outlineLevel="0" collapsed="false">
      <c r="A13" s="10" t="n">
        <v>3</v>
      </c>
      <c r="B13" s="11" t="s">
        <v>24</v>
      </c>
      <c r="C13" s="12" t="s">
        <v>25</v>
      </c>
      <c r="D13" s="10" t="s">
        <v>19</v>
      </c>
      <c r="E13" s="13" t="n">
        <v>6</v>
      </c>
      <c r="F13" s="14"/>
      <c r="G13" s="15" t="n">
        <f aca="false">E13*F13</f>
        <v>0</v>
      </c>
      <c r="H13" s="12" t="s">
        <v>26</v>
      </c>
    </row>
    <row r="14" customFormat="false" ht="23.85" hidden="false" customHeight="false" outlineLevel="0" collapsed="false">
      <c r="A14" s="10" t="n">
        <v>4</v>
      </c>
      <c r="B14" s="11" t="s">
        <v>27</v>
      </c>
      <c r="C14" s="12" t="s">
        <v>28</v>
      </c>
      <c r="D14" s="10" t="s">
        <v>19</v>
      </c>
      <c r="E14" s="13" t="n">
        <v>7</v>
      </c>
      <c r="F14" s="14"/>
      <c r="G14" s="15" t="n">
        <f aca="false">E14*F14</f>
        <v>0</v>
      </c>
      <c r="H14" s="12" t="s">
        <v>29</v>
      </c>
    </row>
    <row r="15" customFormat="false" ht="15" hidden="false" customHeight="false" outlineLevel="0" collapsed="false">
      <c r="A15" s="10" t="n">
        <v>5</v>
      </c>
      <c r="B15" s="11" t="s">
        <v>30</v>
      </c>
      <c r="C15" s="12" t="s">
        <v>31</v>
      </c>
      <c r="D15" s="10" t="s">
        <v>19</v>
      </c>
      <c r="E15" s="13" t="n">
        <v>3</v>
      </c>
      <c r="F15" s="14"/>
      <c r="G15" s="15" t="n">
        <f aca="false">E15*F15</f>
        <v>0</v>
      </c>
      <c r="H15" s="12" t="s">
        <v>32</v>
      </c>
    </row>
    <row r="16" customFormat="false" ht="23.85" hidden="false" customHeight="false" outlineLevel="0" collapsed="false">
      <c r="A16" s="10" t="n">
        <v>6</v>
      </c>
      <c r="B16" s="11" t="s">
        <v>33</v>
      </c>
      <c r="C16" s="12" t="s">
        <v>34</v>
      </c>
      <c r="D16" s="10" t="s">
        <v>19</v>
      </c>
      <c r="E16" s="13" t="n">
        <v>11</v>
      </c>
      <c r="F16" s="14"/>
      <c r="G16" s="15" t="n">
        <f aca="false">E16*F16</f>
        <v>0</v>
      </c>
      <c r="H16" s="12" t="s">
        <v>35</v>
      </c>
    </row>
    <row r="17" customFormat="false" ht="15" hidden="false" customHeight="false" outlineLevel="0" collapsed="false">
      <c r="A17" s="10" t="n">
        <v>7</v>
      </c>
      <c r="B17" s="11" t="s">
        <v>36</v>
      </c>
      <c r="C17" s="12" t="s">
        <v>37</v>
      </c>
      <c r="D17" s="10" t="s">
        <v>19</v>
      </c>
      <c r="E17" s="13" t="n">
        <v>1</v>
      </c>
      <c r="F17" s="14"/>
      <c r="G17" s="15" t="n">
        <f aca="false">E17*F17</f>
        <v>0</v>
      </c>
      <c r="H17" s="12" t="s">
        <v>38</v>
      </c>
    </row>
    <row r="18" customFormat="false" ht="15" hidden="false" customHeight="false" outlineLevel="0" collapsed="false">
      <c r="A18" s="10" t="n">
        <v>8</v>
      </c>
      <c r="B18" s="11" t="s">
        <v>39</v>
      </c>
      <c r="C18" s="12" t="s">
        <v>40</v>
      </c>
      <c r="D18" s="10" t="s">
        <v>19</v>
      </c>
      <c r="E18" s="13" t="n">
        <v>1</v>
      </c>
      <c r="F18" s="14"/>
      <c r="G18" s="15" t="n">
        <f aca="false">E18*F18</f>
        <v>0</v>
      </c>
      <c r="H18" s="12" t="s">
        <v>38</v>
      </c>
    </row>
    <row r="19" customFormat="false" ht="23.85" hidden="false" customHeight="false" outlineLevel="0" collapsed="false">
      <c r="A19" s="10" t="n">
        <v>9</v>
      </c>
      <c r="B19" s="11" t="s">
        <v>41</v>
      </c>
      <c r="C19" s="12" t="s">
        <v>42</v>
      </c>
      <c r="D19" s="10" t="s">
        <v>19</v>
      </c>
      <c r="E19" s="13" t="n">
        <v>1</v>
      </c>
      <c r="F19" s="14"/>
      <c r="G19" s="15" t="n">
        <f aca="false">E19*F19</f>
        <v>0</v>
      </c>
      <c r="H19" s="12" t="s">
        <v>43</v>
      </c>
    </row>
    <row r="20" customFormat="false" ht="15" hidden="false" customHeight="false" outlineLevel="0" collapsed="false">
      <c r="A20" s="10" t="n">
        <v>10</v>
      </c>
      <c r="B20" s="11" t="s">
        <v>44</v>
      </c>
      <c r="C20" s="12" t="s">
        <v>45</v>
      </c>
      <c r="D20" s="10" t="s">
        <v>46</v>
      </c>
      <c r="E20" s="13" t="n">
        <v>1</v>
      </c>
      <c r="F20" s="14"/>
      <c r="G20" s="15" t="n">
        <f aca="false">E20*F20</f>
        <v>0</v>
      </c>
      <c r="H20" s="12"/>
    </row>
    <row r="21" customFormat="false" ht="15" hidden="false" customHeight="false" outlineLevel="0" collapsed="false">
      <c r="A21" s="9" t="s">
        <v>47</v>
      </c>
      <c r="B21" s="9"/>
      <c r="C21" s="9"/>
      <c r="D21" s="9"/>
      <c r="E21" s="9"/>
      <c r="F21" s="9"/>
      <c r="G21" s="9"/>
      <c r="H21" s="9"/>
    </row>
    <row r="22" customFormat="false" ht="23.85" hidden="false" customHeight="false" outlineLevel="0" collapsed="false">
      <c r="A22" s="10" t="n">
        <v>11</v>
      </c>
      <c r="B22" s="11" t="s">
        <v>48</v>
      </c>
      <c r="C22" s="12" t="s">
        <v>49</v>
      </c>
      <c r="D22" s="10" t="s">
        <v>19</v>
      </c>
      <c r="E22" s="13" t="n">
        <v>1</v>
      </c>
      <c r="F22" s="14"/>
      <c r="G22" s="15" t="n">
        <f aca="false">E22*F22</f>
        <v>0</v>
      </c>
      <c r="H22" s="12" t="s">
        <v>50</v>
      </c>
    </row>
    <row r="23" customFormat="false" ht="12.65" hidden="false" customHeight="false" outlineLevel="0" collapsed="false">
      <c r="A23" s="9" t="s">
        <v>51</v>
      </c>
      <c r="B23" s="9"/>
      <c r="C23" s="9"/>
      <c r="D23" s="9"/>
      <c r="E23" s="9"/>
      <c r="F23" s="9"/>
      <c r="G23" s="9"/>
      <c r="H23" s="9"/>
    </row>
    <row r="24" customFormat="false" ht="15" hidden="false" customHeight="false" outlineLevel="0" collapsed="false">
      <c r="A24" s="10" t="n">
        <v>12</v>
      </c>
      <c r="B24" s="11" t="s">
        <v>52</v>
      </c>
      <c r="C24" s="12" t="s">
        <v>53</v>
      </c>
      <c r="D24" s="10" t="s">
        <v>54</v>
      </c>
      <c r="E24" s="16" t="n">
        <f aca="false">כבלים!D8</f>
        <v>45</v>
      </c>
      <c r="F24" s="14"/>
      <c r="G24" s="15" t="n">
        <f aca="false">E24*F24</f>
        <v>0</v>
      </c>
      <c r="H24" s="12" t="s">
        <v>55</v>
      </c>
    </row>
    <row r="25" customFormat="false" ht="15" hidden="false" customHeight="false" outlineLevel="0" collapsed="false">
      <c r="A25" s="10" t="n">
        <v>13</v>
      </c>
      <c r="B25" s="11" t="s">
        <v>56</v>
      </c>
      <c r="C25" s="12" t="s">
        <v>57</v>
      </c>
      <c r="D25" s="10" t="s">
        <v>54</v>
      </c>
      <c r="E25" s="16" t="n">
        <f aca="false">כבלים!D9</f>
        <v>190</v>
      </c>
      <c r="F25" s="14"/>
      <c r="G25" s="15" t="n">
        <f aca="false">E25*F25</f>
        <v>0</v>
      </c>
      <c r="H25" s="12" t="s">
        <v>55</v>
      </c>
    </row>
    <row r="26" customFormat="false" ht="15" hidden="false" customHeight="false" outlineLevel="0" collapsed="false">
      <c r="A26" s="10" t="n">
        <v>14</v>
      </c>
      <c r="B26" s="11" t="s">
        <v>58</v>
      </c>
      <c r="C26" s="12" t="s">
        <v>59</v>
      </c>
      <c r="D26" s="10" t="s">
        <v>54</v>
      </c>
      <c r="E26" s="16" t="n">
        <f aca="false">כבלים!D10</f>
        <v>5</v>
      </c>
      <c r="F26" s="14"/>
      <c r="G26" s="15" t="n">
        <f aca="false">E26*F26</f>
        <v>0</v>
      </c>
      <c r="H26" s="12" t="s">
        <v>55</v>
      </c>
    </row>
    <row r="27" customFormat="false" ht="15" hidden="false" customHeight="false" outlineLevel="0" collapsed="false">
      <c r="A27" s="10" t="n">
        <v>15</v>
      </c>
      <c r="B27" s="11" t="s">
        <v>60</v>
      </c>
      <c r="C27" s="12" t="s">
        <v>61</v>
      </c>
      <c r="D27" s="10" t="s">
        <v>54</v>
      </c>
      <c r="E27" s="16" t="n">
        <f aca="false">כבלים!D11</f>
        <v>10</v>
      </c>
      <c r="F27" s="14"/>
      <c r="G27" s="15" t="n">
        <f aca="false">E27*F27</f>
        <v>0</v>
      </c>
      <c r="H27" s="12" t="s">
        <v>55</v>
      </c>
    </row>
    <row r="28" customFormat="false" ht="12.65" hidden="false" customHeight="false" outlineLevel="0" collapsed="false">
      <c r="A28" s="9" t="s">
        <v>62</v>
      </c>
      <c r="B28" s="9"/>
      <c r="C28" s="9"/>
      <c r="D28" s="9"/>
      <c r="E28" s="9"/>
      <c r="F28" s="9"/>
      <c r="G28" s="9"/>
      <c r="H28" s="9"/>
    </row>
    <row r="29" customFormat="false" ht="15" hidden="false" customHeight="false" outlineLevel="0" collapsed="false">
      <c r="A29" s="10" t="n">
        <v>16</v>
      </c>
      <c r="B29" s="11" t="s">
        <v>63</v>
      </c>
      <c r="C29" s="12" t="s">
        <v>64</v>
      </c>
      <c r="D29" s="10" t="s">
        <v>19</v>
      </c>
      <c r="E29" s="13" t="n">
        <v>12</v>
      </c>
      <c r="F29" s="14"/>
      <c r="G29" s="15" t="n">
        <f aca="false">E29*F29</f>
        <v>0</v>
      </c>
      <c r="H29" s="12" t="s">
        <v>23</v>
      </c>
    </row>
    <row r="30" customFormat="false" ht="15" hidden="false" customHeight="false" outlineLevel="0" collapsed="false">
      <c r="A30" s="10" t="n">
        <v>17</v>
      </c>
      <c r="B30" s="11" t="s">
        <v>65</v>
      </c>
      <c r="C30" s="12" t="s">
        <v>66</v>
      </c>
      <c r="D30" s="10" t="s">
        <v>19</v>
      </c>
      <c r="E30" s="13" t="n">
        <v>12</v>
      </c>
      <c r="F30" s="14"/>
      <c r="G30" s="15" t="n">
        <f aca="false">E30*F30</f>
        <v>0</v>
      </c>
      <c r="H30" s="12"/>
    </row>
    <row r="31" customFormat="false" ht="15" hidden="false" customHeight="false" outlineLevel="0" collapsed="false">
      <c r="A31" s="10" t="n">
        <v>18</v>
      </c>
      <c r="B31" s="11" t="s">
        <v>65</v>
      </c>
      <c r="C31" s="12" t="s">
        <v>67</v>
      </c>
      <c r="D31" s="10" t="s">
        <v>46</v>
      </c>
      <c r="E31" s="13" t="n">
        <v>4</v>
      </c>
      <c r="F31" s="14"/>
      <c r="G31" s="15" t="n">
        <f aca="false">E31*F31</f>
        <v>0</v>
      </c>
      <c r="H31" s="12" t="s">
        <v>68</v>
      </c>
    </row>
    <row r="32" customFormat="false" ht="15" hidden="false" customHeight="false" outlineLevel="0" collapsed="false">
      <c r="A32" s="10" t="n">
        <v>19</v>
      </c>
      <c r="B32" s="11" t="s">
        <v>65</v>
      </c>
      <c r="C32" s="12" t="s">
        <v>69</v>
      </c>
      <c r="D32" s="10" t="s">
        <v>46</v>
      </c>
      <c r="E32" s="13" t="n">
        <v>1</v>
      </c>
      <c r="F32" s="14"/>
      <c r="G32" s="15" t="n">
        <f aca="false">E32*F32</f>
        <v>0</v>
      </c>
      <c r="H32" s="12" t="s">
        <v>70</v>
      </c>
    </row>
    <row r="34" customFormat="false" ht="15" hidden="false" customHeight="false" outlineLevel="0" collapsed="false">
      <c r="F34" s="4" t="s">
        <v>71</v>
      </c>
      <c r="G34" s="17" t="n">
        <f aca="false">SUM(G10:G32)</f>
        <v>0</v>
      </c>
    </row>
    <row r="35" customFormat="false" ht="15" hidden="false" customHeight="false" outlineLevel="0" collapsed="false">
      <c r="F35" s="4" t="s">
        <v>6</v>
      </c>
      <c r="G35" s="15" t="n">
        <f aca="false">G34*$C$6</f>
        <v>0</v>
      </c>
    </row>
    <row r="36" customFormat="false" ht="23.85" hidden="false" customHeight="false" outlineLevel="0" collapsed="false">
      <c r="F36" s="18" t="s">
        <v>72</v>
      </c>
      <c r="G36" s="17" t="n">
        <f aca="false">G34+G35</f>
        <v>0</v>
      </c>
    </row>
    <row r="37" customFormat="false" ht="15" hidden="false" customHeight="false" outlineLevel="0" collapsed="false">
      <c r="F37" s="4" t="s">
        <v>7</v>
      </c>
      <c r="G37" s="15" t="n">
        <f aca="false">G36*$C$7</f>
        <v>0</v>
      </c>
    </row>
    <row r="38" customFormat="false" ht="15" hidden="false" customHeight="false" outlineLevel="0" collapsed="false">
      <c r="F38" s="19" t="s">
        <v>73</v>
      </c>
      <c r="G38" s="20" t="n">
        <f aca="false">G36+G37</f>
        <v>0</v>
      </c>
    </row>
  </sheetData>
  <mergeCells count="5">
    <mergeCell ref="E5:H7"/>
    <mergeCell ref="A10:H10"/>
    <mergeCell ref="A21:H21"/>
    <mergeCell ref="A23:H23"/>
    <mergeCell ref="A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20"/>
  </cols>
  <sheetData>
    <row r="1" customFormat="false" ht="16.15" hidden="false" customHeight="false" outlineLevel="0" collapsed="false">
      <c r="A1" s="21" t="s">
        <v>74</v>
      </c>
    </row>
    <row r="3" customFormat="false" ht="15" hidden="false" customHeight="false" outlineLevel="0" collapsed="false">
      <c r="A3" s="4" t="s">
        <v>75</v>
      </c>
      <c r="B3" s="7" t="n">
        <v>0.15</v>
      </c>
    </row>
    <row r="4" customFormat="false" ht="15" hidden="false" customHeight="false" outlineLevel="0" collapsed="false">
      <c r="A4" s="4" t="s">
        <v>76</v>
      </c>
      <c r="B4" s="22" t="n">
        <v>5</v>
      </c>
    </row>
    <row r="7" customFormat="false" ht="30" hidden="false" customHeight="true" outlineLevel="0" collapsed="false">
      <c r="A7" s="23" t="s">
        <v>9</v>
      </c>
      <c r="B7" s="23" t="s">
        <v>10</v>
      </c>
      <c r="C7" s="23" t="s">
        <v>77</v>
      </c>
      <c r="D7" s="23" t="s">
        <v>78</v>
      </c>
    </row>
    <row r="8" customFormat="false" ht="15" hidden="false" customHeight="false" outlineLevel="0" collapsed="false">
      <c r="A8" s="11" t="s">
        <v>52</v>
      </c>
      <c r="B8" s="12" t="s">
        <v>53</v>
      </c>
      <c r="C8" s="24" t="n">
        <v>35.8</v>
      </c>
      <c r="D8" s="25" t="n">
        <f aca="false">ROUNDUP(C8*(1+$B$3)/$B$4,0)*$B$4</f>
        <v>45</v>
      </c>
    </row>
    <row r="9" customFormat="false" ht="15" hidden="false" customHeight="false" outlineLevel="0" collapsed="false">
      <c r="A9" s="11" t="s">
        <v>56</v>
      </c>
      <c r="B9" s="12" t="s">
        <v>57</v>
      </c>
      <c r="C9" s="24" t="n">
        <v>161</v>
      </c>
      <c r="D9" s="25" t="n">
        <f aca="false">ROUNDUP(C9*(1+$B$3)/$B$4,0)*$B$4</f>
        <v>190</v>
      </c>
    </row>
    <row r="10" customFormat="false" ht="15" hidden="false" customHeight="false" outlineLevel="0" collapsed="false">
      <c r="A10" s="11" t="s">
        <v>58</v>
      </c>
      <c r="B10" s="12" t="s">
        <v>59</v>
      </c>
      <c r="C10" s="24" t="n">
        <v>1.8</v>
      </c>
      <c r="D10" s="25" t="n">
        <f aca="false">ROUNDUP(C10*(1+$B$3)/$B$4,0)*$B$4</f>
        <v>5</v>
      </c>
    </row>
    <row r="11" customFormat="false" ht="15" hidden="false" customHeight="false" outlineLevel="0" collapsed="false">
      <c r="A11" s="11" t="s">
        <v>60</v>
      </c>
      <c r="B11" s="12" t="s">
        <v>61</v>
      </c>
      <c r="C11" s="24" t="n">
        <v>5.5</v>
      </c>
      <c r="D11" s="25" t="n">
        <f aca="false">ROUNDUP(C11*(1+$B$3)/$B$4,0)*$B$4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21" t="s">
        <v>79</v>
      </c>
    </row>
    <row r="3" customFormat="false" ht="15" hidden="false" customHeight="false" outlineLevel="0" collapsed="false">
      <c r="A3" s="26" t="s">
        <v>80</v>
      </c>
    </row>
    <row r="4" customFormat="false" ht="15" hidden="false" customHeight="false" outlineLevel="0" collapsed="false">
      <c r="A4" s="26" t="s">
        <v>81</v>
      </c>
    </row>
    <row r="5" customFormat="false" ht="15" hidden="false" customHeight="false" outlineLevel="0" collapsed="false">
      <c r="A5" s="26" t="s">
        <v>82</v>
      </c>
    </row>
    <row r="6" customFormat="false" ht="15" hidden="false" customHeight="false" outlineLevel="0" collapsed="false">
      <c r="A6" s="26" t="s">
        <v>83</v>
      </c>
    </row>
    <row r="7" customFormat="false" ht="15" hidden="false" customHeight="false" outlineLevel="0" collapsed="false">
      <c r="A7" s="26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2026-10-23T08:12:34Z</dcterms:created>
  <dc:creator>openpyxl</dc:creator>
  <dc:description/>
  <dc:language>en-US</dc:language>
  <cp:lastModifiedBy/>
  <dcterms:modified xsi:type="dcterms:W3CDTF">2026-10-23T08:12:34Z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