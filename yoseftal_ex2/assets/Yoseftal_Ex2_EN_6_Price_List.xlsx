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_rels/workbook.xml.rels" ContentType="application/vnd.openxmlformats-package.relationships+xml"/>
  <Override PartName="/xl/media/image14.png" ContentType="image/png"/>
  <Override PartName="/xl/media/image5.png" ContentType="image/png"/>
  <Override PartName="/xl/media/image6.png" ContentType="image/png"/>
  <Override PartName="/xl/media/image10.png" ContentType="image/png"/>
  <Override PartName="/xl/media/image1.png" ContentType="image/png"/>
  <Override PartName="/xl/media/image7.png" ContentType="image/png"/>
  <Override PartName="/xl/media/image11.png" ContentType="image/png"/>
  <Override PartName="/xl/media/image2.png" ContentType="image/png"/>
  <Override PartName="/xl/media/image8.png" ContentType="image/png"/>
  <Override PartName="/xl/media/image12.png" ContentType="image/png"/>
  <Override PartName="/xl/media/image3.png" ContentType="image/png"/>
  <Override PartName="/xl/media/image9.png" ContentType="image/png"/>
  <Override PartName="/xl/media/image13.png" ContentType="image/png"/>
  <Override PartName="/xl/media/image4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rad (internal)" sheetId="1" state="visible" r:id="rId3"/>
    <sheet name="Client price list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<sst xmlns="http://schemas.openxmlformats.org/spreadsheetml/2006/main" count="76" uniqueCount="54">
  <si>
    <t xml:space="preserve">IMPORTANT – THIS IS NOT A REAL, FORMAL OR OFFICIAL PROPOSAL. It is an example only, prepared to support the offer that Orad must make to the end client.</t>
  </si>
  <si>
    <t xml:space="preserve">Price list for the client – Example Proposal 2</t>
  </si>
  <si>
    <t xml:space="preserve">Example Proposal 2 · Yoseftal Medical Center, Eilat · ORAD-YOS-EX2-2026-10 · 26/10/2026</t>
  </si>
  <si>
    <t xml:space="preserve">2 ward sections · 13 rooms × 3 beds (8 + 5) · 13 en-suite bathrooms · 2 nurse stations · 1 shared server</t>
  </si>
  <si>
    <t xml:space="preserve">Orad margin (all items)</t>
  </si>
  <si>
    <t xml:space="preserve">Exchange rate ILS / EUR</t>
  </si>
  <si>
    <t xml:space="preserve">Photo</t>
  </si>
  <si>
    <t xml:space="preserve">Code</t>
  </si>
  <si>
    <t xml:space="preserve">Description</t>
  </si>
  <si>
    <t xml:space="preserve">Unit</t>
  </si>
  <si>
    <t xml:space="preserve">Qty in project</t>
  </si>
  <si>
    <t xml:space="preserve">ACE BG net (cost)</t>
  </si>
  <si>
    <t xml:space="preserve">Orad margin</t>
  </si>
  <si>
    <t xml:space="preserve">Client price EUR</t>
  </si>
  <si>
    <t xml:space="preserve">Client price ILS</t>
  </si>
  <si>
    <t xml:space="preserve">Project value EUR (client)</t>
  </si>
  <si>
    <t xml:space="preserve">ACE82012153</t>
  </si>
  <si>
    <t xml:space="preserve">Bed call panel, red, with bayonet socket for pear handset</t>
  </si>
  <si>
    <t xml:space="preserve">pcs</t>
  </si>
  <si>
    <t xml:space="preserve">ACE39060521</t>
  </si>
  <si>
    <t xml:space="preserve">Pear handset, 1 capacitive button, 2 m cable, bayonet</t>
  </si>
  <si>
    <t xml:space="preserve">ACE82082137</t>
  </si>
  <si>
    <t xml:space="preserve">Presence / cancel panel, green</t>
  </si>
  <si>
    <t xml:space="preserve">ACE40320303</t>
  </si>
  <si>
    <t xml:space="preserve">SOS mechanism with pull-cord (toilet / shower)</t>
  </si>
  <si>
    <t xml:space="preserve">EOP004</t>
  </si>
  <si>
    <t xml:space="preserve">Corridor light, 3 colours (red · green · blue)</t>
  </si>
  <si>
    <t xml:space="preserve">ECV169</t>
  </si>
  <si>
    <t xml:space="preserve">Room controller PCB 24 pins, 12–48 V DC</t>
  </si>
  <si>
    <t xml:space="preserve">EVV049</t>
  </si>
  <si>
    <t xml:space="preserve">SmartHub connectia – head of the controller bus</t>
  </si>
  <si>
    <t xml:space="preserve">EOP006</t>
  </si>
  <si>
    <t xml:space="preserve">LVNS server – local server &amp; notifications</t>
  </si>
  <si>
    <t xml:space="preserve">EOP002</t>
  </si>
  <si>
    <t xml:space="preserve">Nurse station iPad 10.9" Wi-Fi 128 GB</t>
  </si>
  <si>
    <t xml:space="preserve">EVV038</t>
  </si>
  <si>
    <t xml:space="preserve">ionTab client/server licences + MDM (1st year included)</t>
  </si>
  <si>
    <t xml:space="preserve">ACESWP24P</t>
  </si>
  <si>
    <t xml:space="preserve">PoE switch 24 ports, managed</t>
  </si>
  <si>
    <t xml:space="preserve">RACK9U</t>
  </si>
  <si>
    <t xml:space="preserve">Wall rack 19" 9U with PDU, shelf and cable management</t>
  </si>
  <si>
    <t xml:space="preserve">UPS1500</t>
  </si>
  <si>
    <t xml:space="preserve">UPS 1500 VA online, rack mount</t>
  </si>
  <si>
    <t xml:space="preserve">WAP6</t>
  </si>
  <si>
    <t xml:space="preserve">Wi-Fi 6 access point, PoE, at the nurse station</t>
  </si>
  <si>
    <t xml:space="preserve">Project value at client prices</t>
  </si>
  <si>
    <t xml:space="preserve">• Prices in EUR and ILS, VAT not included. Exchange rate used: (G7) ILS/EUR (example – update in the Excel).</t>
  </si>
  <si>
    <t xml:space="preserve">• Installation, cabling and commissioning are quoted separately.</t>
  </si>
  <si>
    <t xml:space="preserve">Yellow = editable input (discount, estimate or price to confirm). Blue = input, black = formula. Change the yellow discount cell to apply a new discount to everything, or change a category / line discount.</t>
  </si>
  <si>
    <t xml:space="preserve">EXAMPLE ONLY – NOT A REAL, FORMAL OR OFFICIAL PROPOSAL</t>
  </si>
  <si>
    <t xml:space="preserve">Price list for the client</t>
  </si>
  <si>
    <t xml:space="preserve">Price EUR</t>
  </si>
  <si>
    <t xml:space="preserve">Price ILS</t>
  </si>
  <si>
    <t xml:space="preserve">• Prices in EUR and ILS, VAT not included. Exchange rate used: 'Orad (internal)'!G7 ILS/EUR (example – update in the Excel).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</si>
</sst>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%"/>
    <numFmt numFmtId="166" formatCode="0.00"/>
    <numFmt numFmtId="167" formatCode="&quot;€ &quot;#,##0.00;&quot;(€ &quot;#,##0.00\);\-"/>
    <numFmt numFmtId="168" formatCode="&quot;₪ &quot;#,##0.00;&quot;(₪ &quot;#,##0.00\);\-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D0021B"/>
      <name val="Arial"/>
      <family val="0"/>
      <charset val="1"/>
    </font>
    <font>
      <b val="true"/>
      <sz val="16"/>
      <color rgb="FF2B275B"/>
      <name val="Arial"/>
      <family val="0"/>
      <charset val="1"/>
    </font>
    <font>
      <sz val="10"/>
      <color rgb="FF6B7480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800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DECEC"/>
        <bgColor rgb="FFFBE9DD"/>
      </patternFill>
    </fill>
    <fill>
      <patternFill patternType="solid">
        <fgColor rgb="FFFFFF00"/>
        <bgColor rgb="FFFFFF00"/>
      </patternFill>
    </fill>
    <fill>
      <patternFill patternType="solid">
        <fgColor rgb="FF2B275B"/>
        <bgColor rgb="FF333399"/>
      </patternFill>
    </fill>
    <fill>
      <patternFill patternType="solid">
        <fgColor rgb="FFFBE9DD"/>
        <bgColor rgb="FFFDECE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9CED6"/>
      </left>
      <right style="thin">
        <color rgb="FFC9CED6"/>
      </right>
      <top style="thin">
        <color rgb="FFC9CED6"/>
      </top>
      <bottom style="thin">
        <color rgb="FFC9CED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7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D0021B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BE9DD"/>
      <rgbColor rgb="FFCCFFFF"/>
      <rgbColor rgb="FF660066"/>
      <rgbColor rgb="FFFF8080"/>
      <rgbColor rgb="FF0066CC"/>
      <rgbColor rgb="FFC9CED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DECEC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7480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B275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9</xdr:row>
      <xdr:rowOff>0</xdr:rowOff>
    </xdr:from>
    <xdr:to>
      <xdr:col>0</xdr:col>
      <xdr:colOff>533160</xdr:colOff>
      <xdr:row>9</xdr:row>
      <xdr:rowOff>533160</xdr:rowOff>
    </xdr:to>
    <xdr:pic>
      <xdr:nvPicPr>
        <xdr:cNvPr id="0" name="Image 1" descr="Picture"/>
        <xdr:cNvPicPr/>
      </xdr:nvPicPr>
      <xdr:blipFill>
        <a:blip r:embed="rId1"/>
        <a:stretch/>
      </xdr:blipFill>
      <xdr:spPr>
        <a:xfrm>
          <a:off x="0" y="2171880"/>
          <a:ext cx="533160" cy="533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10</xdr:row>
      <xdr:rowOff>0</xdr:rowOff>
    </xdr:from>
    <xdr:to>
      <xdr:col>0</xdr:col>
      <xdr:colOff>533160</xdr:colOff>
      <xdr:row>10</xdr:row>
      <xdr:rowOff>533160</xdr:rowOff>
    </xdr:to>
    <xdr:pic>
      <xdr:nvPicPr>
        <xdr:cNvPr id="1" name="Image 2" descr="Picture"/>
        <xdr:cNvPicPr/>
      </xdr:nvPicPr>
      <xdr:blipFill>
        <a:blip r:embed="rId2"/>
        <a:stretch/>
      </xdr:blipFill>
      <xdr:spPr>
        <a:xfrm>
          <a:off x="0" y="2724120"/>
          <a:ext cx="533160" cy="533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11</xdr:row>
      <xdr:rowOff>0</xdr:rowOff>
    </xdr:from>
    <xdr:to>
      <xdr:col>0</xdr:col>
      <xdr:colOff>533160</xdr:colOff>
      <xdr:row>11</xdr:row>
      <xdr:rowOff>533160</xdr:rowOff>
    </xdr:to>
    <xdr:pic>
      <xdr:nvPicPr>
        <xdr:cNvPr id="2" name="Image 3" descr="Picture"/>
        <xdr:cNvPicPr/>
      </xdr:nvPicPr>
      <xdr:blipFill>
        <a:blip r:embed="rId3"/>
        <a:stretch/>
      </xdr:blipFill>
      <xdr:spPr>
        <a:xfrm>
          <a:off x="0" y="3276720"/>
          <a:ext cx="533160" cy="533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533160</xdr:colOff>
      <xdr:row>12</xdr:row>
      <xdr:rowOff>533160</xdr:rowOff>
    </xdr:to>
    <xdr:pic>
      <xdr:nvPicPr>
        <xdr:cNvPr id="3" name="Image 4" descr="Picture"/>
        <xdr:cNvPicPr/>
      </xdr:nvPicPr>
      <xdr:blipFill>
        <a:blip r:embed="rId4"/>
        <a:stretch/>
      </xdr:blipFill>
      <xdr:spPr>
        <a:xfrm>
          <a:off x="0" y="3828960"/>
          <a:ext cx="533160" cy="533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13</xdr:row>
      <xdr:rowOff>0</xdr:rowOff>
    </xdr:from>
    <xdr:to>
      <xdr:col>0</xdr:col>
      <xdr:colOff>533160</xdr:colOff>
      <xdr:row>13</xdr:row>
      <xdr:rowOff>533160</xdr:rowOff>
    </xdr:to>
    <xdr:pic>
      <xdr:nvPicPr>
        <xdr:cNvPr id="4" name="Image 5" descr="Picture"/>
        <xdr:cNvPicPr/>
      </xdr:nvPicPr>
      <xdr:blipFill>
        <a:blip r:embed="rId5"/>
        <a:stretch/>
      </xdr:blipFill>
      <xdr:spPr>
        <a:xfrm>
          <a:off x="0" y="4381560"/>
          <a:ext cx="533160" cy="533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14</xdr:row>
      <xdr:rowOff>0</xdr:rowOff>
    </xdr:from>
    <xdr:to>
      <xdr:col>0</xdr:col>
      <xdr:colOff>533160</xdr:colOff>
      <xdr:row>14</xdr:row>
      <xdr:rowOff>533160</xdr:rowOff>
    </xdr:to>
    <xdr:pic>
      <xdr:nvPicPr>
        <xdr:cNvPr id="5" name="Image 6" descr="Picture"/>
        <xdr:cNvPicPr/>
      </xdr:nvPicPr>
      <xdr:blipFill>
        <a:blip r:embed="rId6"/>
        <a:stretch/>
      </xdr:blipFill>
      <xdr:spPr>
        <a:xfrm>
          <a:off x="0" y="4933800"/>
          <a:ext cx="533160" cy="533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15</xdr:row>
      <xdr:rowOff>0</xdr:rowOff>
    </xdr:from>
    <xdr:to>
      <xdr:col>0</xdr:col>
      <xdr:colOff>533160</xdr:colOff>
      <xdr:row>15</xdr:row>
      <xdr:rowOff>533160</xdr:rowOff>
    </xdr:to>
    <xdr:pic>
      <xdr:nvPicPr>
        <xdr:cNvPr id="6" name="Image 7" descr="Picture"/>
        <xdr:cNvPicPr/>
      </xdr:nvPicPr>
      <xdr:blipFill>
        <a:blip r:embed="rId7"/>
        <a:stretch/>
      </xdr:blipFill>
      <xdr:spPr>
        <a:xfrm>
          <a:off x="0" y="5486400"/>
          <a:ext cx="533160" cy="533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16</xdr:row>
      <xdr:rowOff>0</xdr:rowOff>
    </xdr:from>
    <xdr:to>
      <xdr:col>0</xdr:col>
      <xdr:colOff>533160</xdr:colOff>
      <xdr:row>16</xdr:row>
      <xdr:rowOff>533160</xdr:rowOff>
    </xdr:to>
    <xdr:pic>
      <xdr:nvPicPr>
        <xdr:cNvPr id="7" name="Image 8" descr="Picture"/>
        <xdr:cNvPicPr/>
      </xdr:nvPicPr>
      <xdr:blipFill>
        <a:blip r:embed="rId8"/>
        <a:stretch/>
      </xdr:blipFill>
      <xdr:spPr>
        <a:xfrm>
          <a:off x="0" y="6039000"/>
          <a:ext cx="533160" cy="533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17</xdr:row>
      <xdr:rowOff>0</xdr:rowOff>
    </xdr:from>
    <xdr:to>
      <xdr:col>0</xdr:col>
      <xdr:colOff>533160</xdr:colOff>
      <xdr:row>17</xdr:row>
      <xdr:rowOff>533160</xdr:rowOff>
    </xdr:to>
    <xdr:pic>
      <xdr:nvPicPr>
        <xdr:cNvPr id="8" name="Image 9" descr="Picture"/>
        <xdr:cNvPicPr/>
      </xdr:nvPicPr>
      <xdr:blipFill>
        <a:blip r:embed="rId9"/>
        <a:stretch/>
      </xdr:blipFill>
      <xdr:spPr>
        <a:xfrm>
          <a:off x="0" y="6591240"/>
          <a:ext cx="533160" cy="533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18</xdr:row>
      <xdr:rowOff>0</xdr:rowOff>
    </xdr:from>
    <xdr:to>
      <xdr:col>0</xdr:col>
      <xdr:colOff>533160</xdr:colOff>
      <xdr:row>18</xdr:row>
      <xdr:rowOff>533160</xdr:rowOff>
    </xdr:to>
    <xdr:pic>
      <xdr:nvPicPr>
        <xdr:cNvPr id="9" name="Image 10" descr="Picture"/>
        <xdr:cNvPicPr/>
      </xdr:nvPicPr>
      <xdr:blipFill>
        <a:blip r:embed="rId10"/>
        <a:stretch/>
      </xdr:blipFill>
      <xdr:spPr>
        <a:xfrm>
          <a:off x="0" y="7143840"/>
          <a:ext cx="533160" cy="533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19</xdr:row>
      <xdr:rowOff>0</xdr:rowOff>
    </xdr:from>
    <xdr:to>
      <xdr:col>0</xdr:col>
      <xdr:colOff>533160</xdr:colOff>
      <xdr:row>19</xdr:row>
      <xdr:rowOff>533160</xdr:rowOff>
    </xdr:to>
    <xdr:pic>
      <xdr:nvPicPr>
        <xdr:cNvPr id="10" name="Image 11" descr="Picture"/>
        <xdr:cNvPicPr/>
      </xdr:nvPicPr>
      <xdr:blipFill>
        <a:blip r:embed="rId11"/>
        <a:stretch/>
      </xdr:blipFill>
      <xdr:spPr>
        <a:xfrm>
          <a:off x="0" y="7696080"/>
          <a:ext cx="533160" cy="533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20</xdr:row>
      <xdr:rowOff>0</xdr:rowOff>
    </xdr:from>
    <xdr:to>
      <xdr:col>0</xdr:col>
      <xdr:colOff>533160</xdr:colOff>
      <xdr:row>20</xdr:row>
      <xdr:rowOff>533160</xdr:rowOff>
    </xdr:to>
    <xdr:pic>
      <xdr:nvPicPr>
        <xdr:cNvPr id="11" name="Image 12" descr="Picture"/>
        <xdr:cNvPicPr/>
      </xdr:nvPicPr>
      <xdr:blipFill>
        <a:blip r:embed="rId12"/>
        <a:stretch/>
      </xdr:blipFill>
      <xdr:spPr>
        <a:xfrm>
          <a:off x="0" y="8248680"/>
          <a:ext cx="533160" cy="533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21</xdr:row>
      <xdr:rowOff>0</xdr:rowOff>
    </xdr:from>
    <xdr:to>
      <xdr:col>0</xdr:col>
      <xdr:colOff>533160</xdr:colOff>
      <xdr:row>21</xdr:row>
      <xdr:rowOff>533160</xdr:rowOff>
    </xdr:to>
    <xdr:pic>
      <xdr:nvPicPr>
        <xdr:cNvPr id="12" name="Image 13" descr="Picture"/>
        <xdr:cNvPicPr/>
      </xdr:nvPicPr>
      <xdr:blipFill>
        <a:blip r:embed="rId13"/>
        <a:stretch/>
      </xdr:blipFill>
      <xdr:spPr>
        <a:xfrm>
          <a:off x="0" y="8801280"/>
          <a:ext cx="533160" cy="533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22</xdr:row>
      <xdr:rowOff>0</xdr:rowOff>
    </xdr:from>
    <xdr:to>
      <xdr:col>0</xdr:col>
      <xdr:colOff>533160</xdr:colOff>
      <xdr:row>22</xdr:row>
      <xdr:rowOff>533160</xdr:rowOff>
    </xdr:to>
    <xdr:pic>
      <xdr:nvPicPr>
        <xdr:cNvPr id="13" name="Image 14" descr="Picture"/>
        <xdr:cNvPicPr/>
      </xdr:nvPicPr>
      <xdr:blipFill>
        <a:blip r:embed="rId14"/>
        <a:stretch/>
      </xdr:blipFill>
      <xdr:spPr>
        <a:xfrm>
          <a:off x="0" y="9353520"/>
          <a:ext cx="533160" cy="53316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9</xdr:row>
      <xdr:rowOff>0</xdr:rowOff>
    </xdr:from>
    <xdr:to>
      <xdr:col>0</xdr:col>
      <xdr:colOff>533160</xdr:colOff>
      <xdr:row>9</xdr:row>
      <xdr:rowOff>533160</xdr:rowOff>
    </xdr:to>
    <xdr:pic>
      <xdr:nvPicPr>
        <xdr:cNvPr id="14" name="Image 1" descr="Picture"/>
        <xdr:cNvPicPr/>
      </xdr:nvPicPr>
      <xdr:blipFill>
        <a:blip r:embed="rId1"/>
        <a:stretch/>
      </xdr:blipFill>
      <xdr:spPr>
        <a:xfrm>
          <a:off x="0" y="2171880"/>
          <a:ext cx="533160" cy="533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10</xdr:row>
      <xdr:rowOff>0</xdr:rowOff>
    </xdr:from>
    <xdr:to>
      <xdr:col>0</xdr:col>
      <xdr:colOff>533160</xdr:colOff>
      <xdr:row>10</xdr:row>
      <xdr:rowOff>533160</xdr:rowOff>
    </xdr:to>
    <xdr:pic>
      <xdr:nvPicPr>
        <xdr:cNvPr id="15" name="Image 2" descr="Picture"/>
        <xdr:cNvPicPr/>
      </xdr:nvPicPr>
      <xdr:blipFill>
        <a:blip r:embed="rId2"/>
        <a:stretch/>
      </xdr:blipFill>
      <xdr:spPr>
        <a:xfrm>
          <a:off x="0" y="2724120"/>
          <a:ext cx="533160" cy="533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11</xdr:row>
      <xdr:rowOff>0</xdr:rowOff>
    </xdr:from>
    <xdr:to>
      <xdr:col>0</xdr:col>
      <xdr:colOff>533160</xdr:colOff>
      <xdr:row>11</xdr:row>
      <xdr:rowOff>533160</xdr:rowOff>
    </xdr:to>
    <xdr:pic>
      <xdr:nvPicPr>
        <xdr:cNvPr id="16" name="Image 3" descr="Picture"/>
        <xdr:cNvPicPr/>
      </xdr:nvPicPr>
      <xdr:blipFill>
        <a:blip r:embed="rId3"/>
        <a:stretch/>
      </xdr:blipFill>
      <xdr:spPr>
        <a:xfrm>
          <a:off x="0" y="3276720"/>
          <a:ext cx="533160" cy="533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533160</xdr:colOff>
      <xdr:row>12</xdr:row>
      <xdr:rowOff>533160</xdr:rowOff>
    </xdr:to>
    <xdr:pic>
      <xdr:nvPicPr>
        <xdr:cNvPr id="17" name="Image 4" descr="Picture"/>
        <xdr:cNvPicPr/>
      </xdr:nvPicPr>
      <xdr:blipFill>
        <a:blip r:embed="rId4"/>
        <a:stretch/>
      </xdr:blipFill>
      <xdr:spPr>
        <a:xfrm>
          <a:off x="0" y="3828960"/>
          <a:ext cx="533160" cy="533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13</xdr:row>
      <xdr:rowOff>0</xdr:rowOff>
    </xdr:from>
    <xdr:to>
      <xdr:col>0</xdr:col>
      <xdr:colOff>533160</xdr:colOff>
      <xdr:row>13</xdr:row>
      <xdr:rowOff>533160</xdr:rowOff>
    </xdr:to>
    <xdr:pic>
      <xdr:nvPicPr>
        <xdr:cNvPr id="18" name="Image 5" descr="Picture"/>
        <xdr:cNvPicPr/>
      </xdr:nvPicPr>
      <xdr:blipFill>
        <a:blip r:embed="rId5"/>
        <a:stretch/>
      </xdr:blipFill>
      <xdr:spPr>
        <a:xfrm>
          <a:off x="0" y="4381560"/>
          <a:ext cx="533160" cy="533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14</xdr:row>
      <xdr:rowOff>0</xdr:rowOff>
    </xdr:from>
    <xdr:to>
      <xdr:col>0</xdr:col>
      <xdr:colOff>533160</xdr:colOff>
      <xdr:row>14</xdr:row>
      <xdr:rowOff>533160</xdr:rowOff>
    </xdr:to>
    <xdr:pic>
      <xdr:nvPicPr>
        <xdr:cNvPr id="19" name="Image 6" descr="Picture"/>
        <xdr:cNvPicPr/>
      </xdr:nvPicPr>
      <xdr:blipFill>
        <a:blip r:embed="rId6"/>
        <a:stretch/>
      </xdr:blipFill>
      <xdr:spPr>
        <a:xfrm>
          <a:off x="0" y="4933800"/>
          <a:ext cx="533160" cy="533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15</xdr:row>
      <xdr:rowOff>0</xdr:rowOff>
    </xdr:from>
    <xdr:to>
      <xdr:col>0</xdr:col>
      <xdr:colOff>533160</xdr:colOff>
      <xdr:row>15</xdr:row>
      <xdr:rowOff>533160</xdr:rowOff>
    </xdr:to>
    <xdr:pic>
      <xdr:nvPicPr>
        <xdr:cNvPr id="20" name="Image 7" descr="Picture"/>
        <xdr:cNvPicPr/>
      </xdr:nvPicPr>
      <xdr:blipFill>
        <a:blip r:embed="rId7"/>
        <a:stretch/>
      </xdr:blipFill>
      <xdr:spPr>
        <a:xfrm>
          <a:off x="0" y="5486400"/>
          <a:ext cx="533160" cy="533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16</xdr:row>
      <xdr:rowOff>0</xdr:rowOff>
    </xdr:from>
    <xdr:to>
      <xdr:col>0</xdr:col>
      <xdr:colOff>533160</xdr:colOff>
      <xdr:row>16</xdr:row>
      <xdr:rowOff>533160</xdr:rowOff>
    </xdr:to>
    <xdr:pic>
      <xdr:nvPicPr>
        <xdr:cNvPr id="21" name="Image 8" descr="Picture"/>
        <xdr:cNvPicPr/>
      </xdr:nvPicPr>
      <xdr:blipFill>
        <a:blip r:embed="rId8"/>
        <a:stretch/>
      </xdr:blipFill>
      <xdr:spPr>
        <a:xfrm>
          <a:off x="0" y="6039000"/>
          <a:ext cx="533160" cy="533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17</xdr:row>
      <xdr:rowOff>0</xdr:rowOff>
    </xdr:from>
    <xdr:to>
      <xdr:col>0</xdr:col>
      <xdr:colOff>533160</xdr:colOff>
      <xdr:row>17</xdr:row>
      <xdr:rowOff>533160</xdr:rowOff>
    </xdr:to>
    <xdr:pic>
      <xdr:nvPicPr>
        <xdr:cNvPr id="22" name="Image 9" descr="Picture"/>
        <xdr:cNvPicPr/>
      </xdr:nvPicPr>
      <xdr:blipFill>
        <a:blip r:embed="rId9"/>
        <a:stretch/>
      </xdr:blipFill>
      <xdr:spPr>
        <a:xfrm>
          <a:off x="0" y="6591240"/>
          <a:ext cx="533160" cy="533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18</xdr:row>
      <xdr:rowOff>0</xdr:rowOff>
    </xdr:from>
    <xdr:to>
      <xdr:col>0</xdr:col>
      <xdr:colOff>533160</xdr:colOff>
      <xdr:row>18</xdr:row>
      <xdr:rowOff>533160</xdr:rowOff>
    </xdr:to>
    <xdr:pic>
      <xdr:nvPicPr>
        <xdr:cNvPr id="23" name="Image 10" descr="Picture"/>
        <xdr:cNvPicPr/>
      </xdr:nvPicPr>
      <xdr:blipFill>
        <a:blip r:embed="rId10"/>
        <a:stretch/>
      </xdr:blipFill>
      <xdr:spPr>
        <a:xfrm>
          <a:off x="0" y="7143840"/>
          <a:ext cx="533160" cy="533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19</xdr:row>
      <xdr:rowOff>0</xdr:rowOff>
    </xdr:from>
    <xdr:to>
      <xdr:col>0</xdr:col>
      <xdr:colOff>533160</xdr:colOff>
      <xdr:row>19</xdr:row>
      <xdr:rowOff>533160</xdr:rowOff>
    </xdr:to>
    <xdr:pic>
      <xdr:nvPicPr>
        <xdr:cNvPr id="24" name="Image 11" descr="Picture"/>
        <xdr:cNvPicPr/>
      </xdr:nvPicPr>
      <xdr:blipFill>
        <a:blip r:embed="rId11"/>
        <a:stretch/>
      </xdr:blipFill>
      <xdr:spPr>
        <a:xfrm>
          <a:off x="0" y="7696080"/>
          <a:ext cx="533160" cy="533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20</xdr:row>
      <xdr:rowOff>0</xdr:rowOff>
    </xdr:from>
    <xdr:to>
      <xdr:col>0</xdr:col>
      <xdr:colOff>533160</xdr:colOff>
      <xdr:row>20</xdr:row>
      <xdr:rowOff>533160</xdr:rowOff>
    </xdr:to>
    <xdr:pic>
      <xdr:nvPicPr>
        <xdr:cNvPr id="25" name="Image 12" descr="Picture"/>
        <xdr:cNvPicPr/>
      </xdr:nvPicPr>
      <xdr:blipFill>
        <a:blip r:embed="rId12"/>
        <a:stretch/>
      </xdr:blipFill>
      <xdr:spPr>
        <a:xfrm>
          <a:off x="0" y="8248680"/>
          <a:ext cx="533160" cy="533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21</xdr:row>
      <xdr:rowOff>0</xdr:rowOff>
    </xdr:from>
    <xdr:to>
      <xdr:col>0</xdr:col>
      <xdr:colOff>533160</xdr:colOff>
      <xdr:row>21</xdr:row>
      <xdr:rowOff>533160</xdr:rowOff>
    </xdr:to>
    <xdr:pic>
      <xdr:nvPicPr>
        <xdr:cNvPr id="26" name="Image 13" descr="Picture"/>
        <xdr:cNvPicPr/>
      </xdr:nvPicPr>
      <xdr:blipFill>
        <a:blip r:embed="rId13"/>
        <a:stretch/>
      </xdr:blipFill>
      <xdr:spPr>
        <a:xfrm>
          <a:off x="0" y="8801280"/>
          <a:ext cx="533160" cy="533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22</xdr:row>
      <xdr:rowOff>0</xdr:rowOff>
    </xdr:from>
    <xdr:to>
      <xdr:col>0</xdr:col>
      <xdr:colOff>533160</xdr:colOff>
      <xdr:row>22</xdr:row>
      <xdr:rowOff>533160</xdr:rowOff>
    </xdr:to>
    <xdr:pic>
      <xdr:nvPicPr>
        <xdr:cNvPr id="27" name="Image 14" descr="Picture"/>
        <xdr:cNvPicPr/>
      </xdr:nvPicPr>
      <xdr:blipFill>
        <a:blip r:embed="rId14"/>
        <a:stretch/>
      </xdr:blipFill>
      <xdr:spPr>
        <a:xfrm>
          <a:off x="0" y="9353520"/>
          <a:ext cx="533160" cy="53316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3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5"/>
    <col collapsed="false" customWidth="true" hidden="false" outlineLevel="0" max="3" min="3" style="0" width="50"/>
    <col collapsed="false" customWidth="true" hidden="false" outlineLevel="0" max="4" min="4" style="0" width="7"/>
    <col collapsed="false" customWidth="true" hidden="false" outlineLevel="0" max="5" min="5" style="0" width="10"/>
    <col collapsed="false" customWidth="true" hidden="false" outlineLevel="0" max="6" min="6" style="0" width="14"/>
    <col collapsed="false" customWidth="true" hidden="false" outlineLevel="0" max="7" min="7" style="0" width="10"/>
    <col collapsed="false" customWidth="true" hidden="false" outlineLevel="0" max="9" min="8" style="0" width="14"/>
    <col collapsed="false" customWidth="true" hidden="false" outlineLevel="0" max="10" min="10" style="0" width="16"/>
  </cols>
  <sheetData>
    <row r="1" customFormat="false" ht="33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25.5" hidden="false" customHeight="true" outlineLevel="0" collapsed="false">
      <c r="A2" s="2" t="s">
        <v>1</v>
      </c>
    </row>
    <row r="3" customFormat="false" ht="15" hidden="false" customHeight="false" outlineLevel="0" collapsed="false">
      <c r="A3" s="3" t="s">
        <v>2</v>
      </c>
    </row>
    <row r="4" customFormat="false" ht="15" hidden="false" customHeight="false" outlineLevel="0" collapsed="false">
      <c r="A4" s="3" t="s">
        <v>3</v>
      </c>
    </row>
    <row r="6" customFormat="false" ht="15" hidden="false" customHeight="false" outlineLevel="0" collapsed="false">
      <c r="C6" s="4" t="s">
        <v>4</v>
      </c>
      <c r="G6" s="5" t="n">
        <v>0.35</v>
      </c>
    </row>
    <row r="7" customFormat="false" ht="15" hidden="false" customHeight="false" outlineLevel="0" collapsed="false">
      <c r="C7" s="4" t="s">
        <v>5</v>
      </c>
      <c r="G7" s="6" t="n">
        <v>3.9</v>
      </c>
    </row>
    <row r="9" customFormat="false" ht="21.75" hidden="false" customHeight="true" outlineLevel="0" collapsed="false">
      <c r="A9" s="7" t="s">
        <v>6</v>
      </c>
      <c r="B9" s="7" t="s">
        <v>7</v>
      </c>
      <c r="C9" s="7" t="s">
        <v>8</v>
      </c>
      <c r="D9" s="7" t="s">
        <v>9</v>
      </c>
      <c r="E9" s="7" t="s">
        <v>10</v>
      </c>
      <c r="F9" s="7" t="s">
        <v>11</v>
      </c>
      <c r="G9" s="7" t="s">
        <v>12</v>
      </c>
      <c r="H9" s="7" t="s">
        <v>13</v>
      </c>
      <c r="I9" s="7" t="s">
        <v>14</v>
      </c>
      <c r="J9" s="7" t="s">
        <v>15</v>
      </c>
    </row>
    <row r="10" customFormat="false" ht="43.5" hidden="false" customHeight="true" outlineLevel="0" collapsed="false">
      <c r="A10" s="8"/>
      <c r="B10" s="9" t="s">
        <v>16</v>
      </c>
      <c r="C10" s="10" t="s">
        <v>17</v>
      </c>
      <c r="D10" s="11" t="s">
        <v>18</v>
      </c>
      <c r="E10" s="12" t="n">
        <v>39</v>
      </c>
      <c r="F10" s="13" t="n">
        <v>67.13</v>
      </c>
      <c r="G10" s="14" t="n">
        <f aca="false">$G$6</f>
        <v>0.35</v>
      </c>
      <c r="H10" s="15" t="n">
        <f aca="false">ROUND(F10*(1+G10),2)</f>
        <v>90.63</v>
      </c>
      <c r="I10" s="16" t="n">
        <f aca="false">ROUND(H10*$G$7,2)</f>
        <v>353.46</v>
      </c>
      <c r="J10" s="15" t="n">
        <f aca="false">E10*H10</f>
        <v>3534.57</v>
      </c>
    </row>
    <row r="11" customFormat="false" ht="43.5" hidden="false" customHeight="true" outlineLevel="0" collapsed="false">
      <c r="A11" s="8"/>
      <c r="B11" s="9" t="s">
        <v>19</v>
      </c>
      <c r="C11" s="10" t="s">
        <v>20</v>
      </c>
      <c r="D11" s="11" t="s">
        <v>18</v>
      </c>
      <c r="E11" s="12" t="n">
        <v>39</v>
      </c>
      <c r="F11" s="13" t="n">
        <v>56.05</v>
      </c>
      <c r="G11" s="14" t="n">
        <f aca="false">$G$6</f>
        <v>0.35</v>
      </c>
      <c r="H11" s="15" t="n">
        <f aca="false">ROUND(F11*(1+G11),2)</f>
        <v>75.67</v>
      </c>
      <c r="I11" s="16" t="n">
        <f aca="false">ROUND(H11*$G$7,2)</f>
        <v>295.11</v>
      </c>
      <c r="J11" s="15" t="n">
        <f aca="false">E11*H11</f>
        <v>2951.13</v>
      </c>
    </row>
    <row r="12" customFormat="false" ht="43.5" hidden="false" customHeight="true" outlineLevel="0" collapsed="false">
      <c r="A12" s="8"/>
      <c r="B12" s="9" t="s">
        <v>21</v>
      </c>
      <c r="C12" s="10" t="s">
        <v>22</v>
      </c>
      <c r="D12" s="11" t="s">
        <v>18</v>
      </c>
      <c r="E12" s="12" t="n">
        <v>26</v>
      </c>
      <c r="F12" s="13" t="n">
        <v>67.13</v>
      </c>
      <c r="G12" s="14" t="n">
        <f aca="false">$G$6</f>
        <v>0.35</v>
      </c>
      <c r="H12" s="15" t="n">
        <f aca="false">ROUND(F12*(1+G12),2)</f>
        <v>90.63</v>
      </c>
      <c r="I12" s="16" t="n">
        <f aca="false">ROUND(H12*$G$7,2)</f>
        <v>353.46</v>
      </c>
      <c r="J12" s="15" t="n">
        <f aca="false">E12*H12</f>
        <v>2356.38</v>
      </c>
    </row>
    <row r="13" customFormat="false" ht="43.5" hidden="false" customHeight="true" outlineLevel="0" collapsed="false">
      <c r="A13" s="8"/>
      <c r="B13" s="9" t="s">
        <v>23</v>
      </c>
      <c r="C13" s="10" t="s">
        <v>24</v>
      </c>
      <c r="D13" s="11" t="s">
        <v>18</v>
      </c>
      <c r="E13" s="12" t="n">
        <v>26</v>
      </c>
      <c r="F13" s="13" t="n">
        <v>44.1</v>
      </c>
      <c r="G13" s="14" t="n">
        <f aca="false">$G$6</f>
        <v>0.35</v>
      </c>
      <c r="H13" s="15" t="n">
        <f aca="false">ROUND(F13*(1+G13),2)</f>
        <v>59.54</v>
      </c>
      <c r="I13" s="16" t="n">
        <f aca="false">ROUND(H13*$G$7,2)</f>
        <v>232.21</v>
      </c>
      <c r="J13" s="15" t="n">
        <f aca="false">E13*H13</f>
        <v>1548.04</v>
      </c>
    </row>
    <row r="14" customFormat="false" ht="43.5" hidden="false" customHeight="true" outlineLevel="0" collapsed="false">
      <c r="A14" s="8"/>
      <c r="B14" s="9" t="s">
        <v>25</v>
      </c>
      <c r="C14" s="10" t="s">
        <v>26</v>
      </c>
      <c r="D14" s="11" t="s">
        <v>18</v>
      </c>
      <c r="E14" s="12" t="n">
        <v>26</v>
      </c>
      <c r="F14" s="13" t="n">
        <v>128.57</v>
      </c>
      <c r="G14" s="14" t="n">
        <f aca="false">$G$6</f>
        <v>0.35</v>
      </c>
      <c r="H14" s="15" t="n">
        <f aca="false">ROUND(F14*(1+G14),2)</f>
        <v>173.57</v>
      </c>
      <c r="I14" s="16" t="n">
        <f aca="false">ROUND(H14*$G$7,2)</f>
        <v>676.92</v>
      </c>
      <c r="J14" s="15" t="n">
        <f aca="false">E14*H14</f>
        <v>4512.82</v>
      </c>
    </row>
    <row r="15" customFormat="false" ht="43.5" hidden="false" customHeight="true" outlineLevel="0" collapsed="false">
      <c r="A15" s="8"/>
      <c r="B15" s="9" t="s">
        <v>27</v>
      </c>
      <c r="C15" s="10" t="s">
        <v>28</v>
      </c>
      <c r="D15" s="11" t="s">
        <v>18</v>
      </c>
      <c r="E15" s="12" t="n">
        <v>39</v>
      </c>
      <c r="F15" s="13" t="n">
        <v>114.29</v>
      </c>
      <c r="G15" s="14" t="n">
        <f aca="false">$G$6</f>
        <v>0.35</v>
      </c>
      <c r="H15" s="15" t="n">
        <f aca="false">ROUND(F15*(1+G15),2)</f>
        <v>154.29</v>
      </c>
      <c r="I15" s="16" t="n">
        <f aca="false">ROUND(H15*$G$7,2)</f>
        <v>601.73</v>
      </c>
      <c r="J15" s="15" t="n">
        <f aca="false">E15*H15</f>
        <v>6017.31</v>
      </c>
    </row>
    <row r="16" customFormat="false" ht="43.5" hidden="false" customHeight="true" outlineLevel="0" collapsed="false">
      <c r="A16" s="8"/>
      <c r="B16" s="9" t="s">
        <v>29</v>
      </c>
      <c r="C16" s="10" t="s">
        <v>30</v>
      </c>
      <c r="D16" s="11" t="s">
        <v>18</v>
      </c>
      <c r="E16" s="12" t="n">
        <v>2</v>
      </c>
      <c r="F16" s="13" t="n">
        <v>928.57</v>
      </c>
      <c r="G16" s="14" t="n">
        <f aca="false">$G$6</f>
        <v>0.35</v>
      </c>
      <c r="H16" s="15" t="n">
        <f aca="false">ROUND(F16*(1+G16),2)</f>
        <v>1253.57</v>
      </c>
      <c r="I16" s="16" t="n">
        <f aca="false">ROUND(H16*$G$7,2)</f>
        <v>4888.92</v>
      </c>
      <c r="J16" s="15" t="n">
        <f aca="false">E16*H16</f>
        <v>2507.14</v>
      </c>
    </row>
    <row r="17" customFormat="false" ht="43.5" hidden="false" customHeight="true" outlineLevel="0" collapsed="false">
      <c r="A17" s="8"/>
      <c r="B17" s="9" t="s">
        <v>31</v>
      </c>
      <c r="C17" s="10" t="s">
        <v>32</v>
      </c>
      <c r="D17" s="11" t="s">
        <v>18</v>
      </c>
      <c r="E17" s="12" t="n">
        <v>1</v>
      </c>
      <c r="F17" s="13" t="n">
        <v>1857.14</v>
      </c>
      <c r="G17" s="14" t="n">
        <f aca="false">$G$6</f>
        <v>0.35</v>
      </c>
      <c r="H17" s="15" t="n">
        <f aca="false">ROUND(F17*(1+G17),2)</f>
        <v>2507.14</v>
      </c>
      <c r="I17" s="16" t="n">
        <f aca="false">ROUND(H17*$G$7,2)</f>
        <v>9777.85</v>
      </c>
      <c r="J17" s="15" t="n">
        <f aca="false">E17*H17</f>
        <v>2507.14</v>
      </c>
    </row>
    <row r="18" customFormat="false" ht="43.5" hidden="false" customHeight="true" outlineLevel="0" collapsed="false">
      <c r="A18" s="8"/>
      <c r="B18" s="9" t="s">
        <v>33</v>
      </c>
      <c r="C18" s="10" t="s">
        <v>34</v>
      </c>
      <c r="D18" s="11" t="s">
        <v>18</v>
      </c>
      <c r="E18" s="12" t="n">
        <v>2</v>
      </c>
      <c r="F18" s="13" t="n">
        <v>655.56</v>
      </c>
      <c r="G18" s="14" t="n">
        <f aca="false">$G$6</f>
        <v>0.35</v>
      </c>
      <c r="H18" s="15" t="n">
        <f aca="false">ROUND(F18*(1+G18),2)</f>
        <v>885.01</v>
      </c>
      <c r="I18" s="16" t="n">
        <f aca="false">ROUND(H18*$G$7,2)</f>
        <v>3451.54</v>
      </c>
      <c r="J18" s="15" t="n">
        <f aca="false">E18*H18</f>
        <v>1770.02</v>
      </c>
    </row>
    <row r="19" customFormat="false" ht="43.5" hidden="false" customHeight="true" outlineLevel="0" collapsed="false">
      <c r="A19" s="8"/>
      <c r="B19" s="9" t="s">
        <v>35</v>
      </c>
      <c r="C19" s="10" t="s">
        <v>36</v>
      </c>
      <c r="D19" s="11" t="s">
        <v>18</v>
      </c>
      <c r="E19" s="12" t="n">
        <v>2</v>
      </c>
      <c r="F19" s="13" t="n">
        <v>284.29</v>
      </c>
      <c r="G19" s="14" t="n">
        <f aca="false">$G$6</f>
        <v>0.35</v>
      </c>
      <c r="H19" s="15" t="n">
        <f aca="false">ROUND(F19*(1+G19),2)</f>
        <v>383.79</v>
      </c>
      <c r="I19" s="16" t="n">
        <f aca="false">ROUND(H19*$G$7,2)</f>
        <v>1496.78</v>
      </c>
      <c r="J19" s="15" t="n">
        <f aca="false">E19*H19</f>
        <v>767.58</v>
      </c>
    </row>
    <row r="20" customFormat="false" ht="43.5" hidden="false" customHeight="true" outlineLevel="0" collapsed="false">
      <c r="A20" s="8"/>
      <c r="B20" s="9" t="s">
        <v>37</v>
      </c>
      <c r="C20" s="10" t="s">
        <v>38</v>
      </c>
      <c r="D20" s="11" t="s">
        <v>18</v>
      </c>
      <c r="E20" s="12" t="n">
        <v>2</v>
      </c>
      <c r="F20" s="13" t="n">
        <v>287.46</v>
      </c>
      <c r="G20" s="14" t="n">
        <f aca="false">$G$6</f>
        <v>0.35</v>
      </c>
      <c r="H20" s="15" t="n">
        <f aca="false">ROUND(F20*(1+G20),2)</f>
        <v>388.07</v>
      </c>
      <c r="I20" s="16" t="n">
        <f aca="false">ROUND(H20*$G$7,2)</f>
        <v>1513.47</v>
      </c>
      <c r="J20" s="15" t="n">
        <f aca="false">E20*H20</f>
        <v>776.14</v>
      </c>
    </row>
    <row r="21" customFormat="false" ht="43.5" hidden="false" customHeight="true" outlineLevel="0" collapsed="false">
      <c r="A21" s="8"/>
      <c r="B21" s="9" t="s">
        <v>39</v>
      </c>
      <c r="C21" s="10" t="s">
        <v>40</v>
      </c>
      <c r="D21" s="11" t="s">
        <v>18</v>
      </c>
      <c r="E21" s="12" t="n">
        <v>2</v>
      </c>
      <c r="F21" s="17" t="n">
        <v>320</v>
      </c>
      <c r="G21" s="14" t="n">
        <f aca="false">$G$6</f>
        <v>0.35</v>
      </c>
      <c r="H21" s="15" t="n">
        <f aca="false">ROUND(F21*(1+G21),2)</f>
        <v>432</v>
      </c>
      <c r="I21" s="16" t="n">
        <f aca="false">ROUND(H21*$G$7,2)</f>
        <v>1684.8</v>
      </c>
      <c r="J21" s="15" t="n">
        <f aca="false">E21*H21</f>
        <v>864</v>
      </c>
    </row>
    <row r="22" customFormat="false" ht="43.5" hidden="false" customHeight="true" outlineLevel="0" collapsed="false">
      <c r="A22" s="8"/>
      <c r="B22" s="9" t="s">
        <v>41</v>
      </c>
      <c r="C22" s="10" t="s">
        <v>42</v>
      </c>
      <c r="D22" s="11" t="s">
        <v>18</v>
      </c>
      <c r="E22" s="12" t="n">
        <v>2</v>
      </c>
      <c r="F22" s="17" t="n">
        <v>480</v>
      </c>
      <c r="G22" s="14" t="n">
        <f aca="false">$G$6</f>
        <v>0.35</v>
      </c>
      <c r="H22" s="15" t="n">
        <f aca="false">ROUND(F22*(1+G22),2)</f>
        <v>648</v>
      </c>
      <c r="I22" s="16" t="n">
        <f aca="false">ROUND(H22*$G$7,2)</f>
        <v>2527.2</v>
      </c>
      <c r="J22" s="15" t="n">
        <f aca="false">E22*H22</f>
        <v>1296</v>
      </c>
    </row>
    <row r="23" customFormat="false" ht="43.5" hidden="false" customHeight="true" outlineLevel="0" collapsed="false">
      <c r="A23" s="8"/>
      <c r="B23" s="9" t="s">
        <v>43</v>
      </c>
      <c r="C23" s="10" t="s">
        <v>44</v>
      </c>
      <c r="D23" s="11" t="s">
        <v>18</v>
      </c>
      <c r="E23" s="12" t="n">
        <v>2</v>
      </c>
      <c r="F23" s="17" t="n">
        <v>220</v>
      </c>
      <c r="G23" s="14" t="n">
        <f aca="false">$G$6</f>
        <v>0.35</v>
      </c>
      <c r="H23" s="15" t="n">
        <f aca="false">ROUND(F23*(1+G23),2)</f>
        <v>297</v>
      </c>
      <c r="I23" s="16" t="n">
        <f aca="false">ROUND(H23*$G$7,2)</f>
        <v>1158.3</v>
      </c>
      <c r="J23" s="15" t="n">
        <f aca="false">E23*H23</f>
        <v>594</v>
      </c>
    </row>
    <row r="24" customFormat="false" ht="15" hidden="false" customHeight="false" outlineLevel="0" collapsed="false">
      <c r="A24" s="18"/>
      <c r="B24" s="18"/>
      <c r="C24" s="19" t="s">
        <v>45</v>
      </c>
      <c r="D24" s="18"/>
      <c r="E24" s="18"/>
      <c r="F24" s="18"/>
      <c r="G24" s="18"/>
      <c r="H24" s="18"/>
      <c r="I24" s="18"/>
      <c r="J24" s="20" t="n">
        <f aca="false">SUM(J10:J23)</f>
        <v>32002.27</v>
      </c>
    </row>
    <row r="26" customFormat="false" ht="28.35" hidden="false" customHeight="false" outlineLevel="0" collapsed="false">
      <c r="C26" s="21" t="s">
        <v>46</v>
      </c>
    </row>
    <row r="27" customFormat="false" ht="28.35" hidden="false" customHeight="false" outlineLevel="0" collapsed="false">
      <c r="C27" s="21" t="s">
        <v>47</v>
      </c>
    </row>
    <row r="28" customFormat="false" ht="39.75" hidden="false" customHeight="true" outlineLevel="0" collapsed="false">
      <c r="C28" s="21" t="s">
        <v>48</v>
      </c>
    </row>
    <row r="30" customFormat="false" ht="15" hidden="false" customHeight="false" outlineLevel="0" collapsed="false">
      <c r="A30" s="22" t="s">
        <v>49</v>
      </c>
      <c r="B30" s="22"/>
      <c r="C30" s="22"/>
      <c r="D30" s="22"/>
      <c r="E30" s="22"/>
      <c r="F30" s="22"/>
      <c r="G30" s="22"/>
      <c r="H30" s="22"/>
      <c r="I30" s="22"/>
      <c r="J30" s="22"/>
    </row>
  </sheetData>
  <mergeCells count="2">
    <mergeCell ref="A1:J1"/>
    <mergeCell ref="A30:J30"/>
  </mergeCells>
  <printOptions headings="false" gridLines="false" gridLinesSet="true" horizontalCentered="false" verticalCentered="false"/>
  <pageMargins left="0.75" right="0.75" top="1" bottom="1" header="0.5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>&amp;C&amp;Kd0021bEXAMPLE ONLY – NOT A REAL, FORMAL OR OFFICIAL PROPOSAL</oddHeader>
    <oddFooter>&amp;C&amp;Kd0021bEXAMPLE ONLY – NOT A REAL, FORMAL OR OFFICIAL PROPOSAL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5"/>
    <col collapsed="false" customWidth="true" hidden="false" outlineLevel="0" max="3" min="3" style="0" width="55"/>
    <col collapsed="false" customWidth="true" hidden="false" outlineLevel="0" max="4" min="4" style="0" width="8"/>
    <col collapsed="false" customWidth="true" hidden="false" outlineLevel="0" max="6" min="5" style="0" width="15"/>
  </cols>
  <sheetData>
    <row r="1" customFormat="false" ht="33.75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25.5" hidden="false" customHeight="true" outlineLevel="0" collapsed="false">
      <c r="A2" s="2" t="s">
        <v>50</v>
      </c>
    </row>
    <row r="3" customFormat="false" ht="15" hidden="false" customHeight="false" outlineLevel="0" collapsed="false">
      <c r="A3" s="3" t="s">
        <v>2</v>
      </c>
    </row>
    <row r="4" customFormat="false" ht="15" hidden="false" customHeight="false" outlineLevel="0" collapsed="false">
      <c r="A4" s="3" t="s">
        <v>3</v>
      </c>
    </row>
    <row r="9" customFormat="false" ht="21.75" hidden="false" customHeight="true" outlineLevel="0" collapsed="false">
      <c r="A9" s="7" t="s">
        <v>6</v>
      </c>
      <c r="B9" s="7" t="s">
        <v>7</v>
      </c>
      <c r="C9" s="7" t="s">
        <v>8</v>
      </c>
      <c r="D9" s="7" t="s">
        <v>9</v>
      </c>
      <c r="E9" s="7" t="s">
        <v>51</v>
      </c>
      <c r="F9" s="7" t="s">
        <v>52</v>
      </c>
    </row>
    <row r="10" customFormat="false" ht="43.5" hidden="false" customHeight="true" outlineLevel="0" collapsed="false">
      <c r="A10" s="8"/>
      <c r="B10" s="23" t="str">
        <f aca="false">'Orad (internal)'!B10</f>
        <v>ACE82012153</v>
      </c>
      <c r="C10" s="24" t="str">
        <f aca="false">'Orad (internal)'!C10</f>
        <v>Bed call panel, red, with bayonet socket for pear handset</v>
      </c>
      <c r="D10" s="23" t="str">
        <f aca="false">'Orad (internal)'!D10</f>
        <v>pcs</v>
      </c>
      <c r="E10" s="25" t="n">
        <f aca="false">'Orad (internal)'!H10</f>
        <v>90.63</v>
      </c>
      <c r="F10" s="26" t="n">
        <f aca="false">'Orad (internal)'!I10</f>
        <v>353.46</v>
      </c>
    </row>
    <row r="11" customFormat="false" ht="43.5" hidden="false" customHeight="true" outlineLevel="0" collapsed="false">
      <c r="A11" s="8"/>
      <c r="B11" s="23" t="str">
        <f aca="false">'Orad (internal)'!B11</f>
        <v>ACE39060521</v>
      </c>
      <c r="C11" s="24" t="str">
        <f aca="false">'Orad (internal)'!C11</f>
        <v>Pear handset, 1 capacitive button, 2 m cable, bayonet</v>
      </c>
      <c r="D11" s="23" t="str">
        <f aca="false">'Orad (internal)'!D11</f>
        <v>pcs</v>
      </c>
      <c r="E11" s="25" t="n">
        <f aca="false">'Orad (internal)'!H11</f>
        <v>75.67</v>
      </c>
      <c r="F11" s="26" t="n">
        <f aca="false">'Orad (internal)'!I11</f>
        <v>295.11</v>
      </c>
    </row>
    <row r="12" customFormat="false" ht="43.5" hidden="false" customHeight="true" outlineLevel="0" collapsed="false">
      <c r="A12" s="8"/>
      <c r="B12" s="23" t="str">
        <f aca="false">'Orad (internal)'!B12</f>
        <v>ACE82082137</v>
      </c>
      <c r="C12" s="24" t="str">
        <f aca="false">'Orad (internal)'!C12</f>
        <v>Presence / cancel panel, green</v>
      </c>
      <c r="D12" s="23" t="str">
        <f aca="false">'Orad (internal)'!D12</f>
        <v>pcs</v>
      </c>
      <c r="E12" s="25" t="n">
        <f aca="false">'Orad (internal)'!H12</f>
        <v>90.63</v>
      </c>
      <c r="F12" s="26" t="n">
        <f aca="false">'Orad (internal)'!I12</f>
        <v>353.46</v>
      </c>
    </row>
    <row r="13" customFormat="false" ht="43.5" hidden="false" customHeight="true" outlineLevel="0" collapsed="false">
      <c r="A13" s="8"/>
      <c r="B13" s="23" t="str">
        <f aca="false">'Orad (internal)'!B13</f>
        <v>ACE40320303</v>
      </c>
      <c r="C13" s="24" t="str">
        <f aca="false">'Orad (internal)'!C13</f>
        <v>SOS mechanism with pull-cord (toilet / shower)</v>
      </c>
      <c r="D13" s="23" t="str">
        <f aca="false">'Orad (internal)'!D13</f>
        <v>pcs</v>
      </c>
      <c r="E13" s="25" t="n">
        <f aca="false">'Orad (internal)'!H13</f>
        <v>59.54</v>
      </c>
      <c r="F13" s="26" t="n">
        <f aca="false">'Orad (internal)'!I13</f>
        <v>232.21</v>
      </c>
    </row>
    <row r="14" customFormat="false" ht="43.5" hidden="false" customHeight="true" outlineLevel="0" collapsed="false">
      <c r="A14" s="8"/>
      <c r="B14" s="23" t="str">
        <f aca="false">'Orad (internal)'!B14</f>
        <v>EOP004</v>
      </c>
      <c r="C14" s="24" t="str">
        <f aca="false">'Orad (internal)'!C14</f>
        <v>Corridor light, 3 colours (red · green · blue)</v>
      </c>
      <c r="D14" s="23" t="str">
        <f aca="false">'Orad (internal)'!D14</f>
        <v>pcs</v>
      </c>
      <c r="E14" s="25" t="n">
        <f aca="false">'Orad (internal)'!H14</f>
        <v>173.57</v>
      </c>
      <c r="F14" s="26" t="n">
        <f aca="false">'Orad (internal)'!I14</f>
        <v>676.92</v>
      </c>
    </row>
    <row r="15" customFormat="false" ht="43.5" hidden="false" customHeight="true" outlineLevel="0" collapsed="false">
      <c r="A15" s="8"/>
      <c r="B15" s="23" t="str">
        <f aca="false">'Orad (internal)'!B15</f>
        <v>ECV169</v>
      </c>
      <c r="C15" s="24" t="str">
        <f aca="false">'Orad (internal)'!C15</f>
        <v>Room controller PCB 24 pins, 12–48 V DC</v>
      </c>
      <c r="D15" s="23" t="str">
        <f aca="false">'Orad (internal)'!D15</f>
        <v>pcs</v>
      </c>
      <c r="E15" s="25" t="n">
        <f aca="false">'Orad (internal)'!H15</f>
        <v>154.29</v>
      </c>
      <c r="F15" s="26" t="n">
        <f aca="false">'Orad (internal)'!I15</f>
        <v>601.73</v>
      </c>
    </row>
    <row r="16" customFormat="false" ht="43.5" hidden="false" customHeight="true" outlineLevel="0" collapsed="false">
      <c r="A16" s="8"/>
      <c r="B16" s="23" t="str">
        <f aca="false">'Orad (internal)'!B16</f>
        <v>EVV049</v>
      </c>
      <c r="C16" s="24" t="str">
        <f aca="false">'Orad (internal)'!C16</f>
        <v>SmartHub connectia – head of the controller bus</v>
      </c>
      <c r="D16" s="23" t="str">
        <f aca="false">'Orad (internal)'!D16</f>
        <v>pcs</v>
      </c>
      <c r="E16" s="25" t="n">
        <f aca="false">'Orad (internal)'!H16</f>
        <v>1253.57</v>
      </c>
      <c r="F16" s="26" t="n">
        <f aca="false">'Orad (internal)'!I16</f>
        <v>4888.92</v>
      </c>
    </row>
    <row r="17" customFormat="false" ht="43.5" hidden="false" customHeight="true" outlineLevel="0" collapsed="false">
      <c r="A17" s="8"/>
      <c r="B17" s="23" t="str">
        <f aca="false">'Orad (internal)'!B17</f>
        <v>EOP006</v>
      </c>
      <c r="C17" s="24" t="str">
        <f aca="false">'Orad (internal)'!C17</f>
        <v>LVNS server – local server &amp; notifications</v>
      </c>
      <c r="D17" s="23" t="str">
        <f aca="false">'Orad (internal)'!D17</f>
        <v>pcs</v>
      </c>
      <c r="E17" s="25" t="n">
        <f aca="false">'Orad (internal)'!H17</f>
        <v>2507.14</v>
      </c>
      <c r="F17" s="26" t="n">
        <f aca="false">'Orad (internal)'!I17</f>
        <v>9777.85</v>
      </c>
    </row>
    <row r="18" customFormat="false" ht="43.5" hidden="false" customHeight="true" outlineLevel="0" collapsed="false">
      <c r="A18" s="8"/>
      <c r="B18" s="23" t="str">
        <f aca="false">'Orad (internal)'!B18</f>
        <v>EOP002</v>
      </c>
      <c r="C18" s="24" t="str">
        <f aca="false">'Orad (internal)'!C18</f>
        <v>Nurse station iPad 10.9" Wi-Fi 128 GB</v>
      </c>
      <c r="D18" s="23" t="str">
        <f aca="false">'Orad (internal)'!D18</f>
        <v>pcs</v>
      </c>
      <c r="E18" s="25" t="n">
        <f aca="false">'Orad (internal)'!H18</f>
        <v>885.01</v>
      </c>
      <c r="F18" s="26" t="n">
        <f aca="false">'Orad (internal)'!I18</f>
        <v>3451.54</v>
      </c>
    </row>
    <row r="19" customFormat="false" ht="43.5" hidden="false" customHeight="true" outlineLevel="0" collapsed="false">
      <c r="A19" s="8"/>
      <c r="B19" s="23" t="str">
        <f aca="false">'Orad (internal)'!B19</f>
        <v>EVV038</v>
      </c>
      <c r="C19" s="24" t="str">
        <f aca="false">'Orad (internal)'!C19</f>
        <v>ionTab client/server licences + MDM (1st year included)</v>
      </c>
      <c r="D19" s="23" t="str">
        <f aca="false">'Orad (internal)'!D19</f>
        <v>pcs</v>
      </c>
      <c r="E19" s="25" t="n">
        <f aca="false">'Orad (internal)'!H19</f>
        <v>383.79</v>
      </c>
      <c r="F19" s="26" t="n">
        <f aca="false">'Orad (internal)'!I19</f>
        <v>1496.78</v>
      </c>
    </row>
    <row r="20" customFormat="false" ht="43.5" hidden="false" customHeight="true" outlineLevel="0" collapsed="false">
      <c r="A20" s="8"/>
      <c r="B20" s="23" t="str">
        <f aca="false">'Orad (internal)'!B20</f>
        <v>ACESWP24P</v>
      </c>
      <c r="C20" s="24" t="str">
        <f aca="false">'Orad (internal)'!C20</f>
        <v>PoE switch 24 ports, managed</v>
      </c>
      <c r="D20" s="23" t="str">
        <f aca="false">'Orad (internal)'!D20</f>
        <v>pcs</v>
      </c>
      <c r="E20" s="25" t="n">
        <f aca="false">'Orad (internal)'!H20</f>
        <v>388.07</v>
      </c>
      <c r="F20" s="26" t="n">
        <f aca="false">'Orad (internal)'!I20</f>
        <v>1513.47</v>
      </c>
    </row>
    <row r="21" customFormat="false" ht="43.5" hidden="false" customHeight="true" outlineLevel="0" collapsed="false">
      <c r="A21" s="8"/>
      <c r="B21" s="23" t="str">
        <f aca="false">'Orad (internal)'!B21</f>
        <v>RACK9U</v>
      </c>
      <c r="C21" s="24" t="str">
        <f aca="false">'Orad (internal)'!C21</f>
        <v>Wall rack 19" 9U with PDU, shelf and cable management</v>
      </c>
      <c r="D21" s="23" t="str">
        <f aca="false">'Orad (internal)'!D21</f>
        <v>pcs</v>
      </c>
      <c r="E21" s="25" t="n">
        <f aca="false">'Orad (internal)'!H21</f>
        <v>432</v>
      </c>
      <c r="F21" s="26" t="n">
        <f aca="false">'Orad (internal)'!I21</f>
        <v>1684.8</v>
      </c>
    </row>
    <row r="22" customFormat="false" ht="43.5" hidden="false" customHeight="true" outlineLevel="0" collapsed="false">
      <c r="A22" s="8"/>
      <c r="B22" s="23" t="str">
        <f aca="false">'Orad (internal)'!B22</f>
        <v>UPS1500</v>
      </c>
      <c r="C22" s="24" t="str">
        <f aca="false">'Orad (internal)'!C22</f>
        <v>UPS 1500 VA online, rack mount</v>
      </c>
      <c r="D22" s="23" t="str">
        <f aca="false">'Orad (internal)'!D22</f>
        <v>pcs</v>
      </c>
      <c r="E22" s="25" t="n">
        <f aca="false">'Orad (internal)'!H22</f>
        <v>648</v>
      </c>
      <c r="F22" s="26" t="n">
        <f aca="false">'Orad (internal)'!I22</f>
        <v>2527.2</v>
      </c>
    </row>
    <row r="23" customFormat="false" ht="43.5" hidden="false" customHeight="true" outlineLevel="0" collapsed="false">
      <c r="A23" s="8"/>
      <c r="B23" s="23" t="str">
        <f aca="false">'Orad (internal)'!B23</f>
        <v>WAP6</v>
      </c>
      <c r="C23" s="24" t="str">
        <f aca="false">'Orad (internal)'!C23</f>
        <v>Wi-Fi 6 access point, PoE, at the nurse station</v>
      </c>
      <c r="D23" s="23" t="str">
        <f aca="false">'Orad (internal)'!D23</f>
        <v>pcs</v>
      </c>
      <c r="E23" s="25" t="n">
        <f aca="false">'Orad (internal)'!H23</f>
        <v>297</v>
      </c>
      <c r="F23" s="26" t="n">
        <f aca="false">'Orad (internal)'!I23</f>
        <v>1158.3</v>
      </c>
    </row>
    <row r="25" customFormat="false" ht="28.35" hidden="false" customHeight="false" outlineLevel="0" collapsed="false">
      <c r="C25" s="21" t="s">
        <v>53</v>
      </c>
    </row>
    <row r="26" customFormat="false" ht="15" hidden="false" customHeight="false" outlineLevel="0" collapsed="false">
      <c r="C26" s="21" t="s">
        <v>47</v>
      </c>
    </row>
    <row r="28" customFormat="false" ht="15" hidden="false" customHeight="false" outlineLevel="0" collapsed="false">
      <c r="A28" s="22" t="s">
        <v>49</v>
      </c>
      <c r="B28" s="22"/>
      <c r="C28" s="22"/>
      <c r="D28" s="22"/>
      <c r="E28" s="22"/>
      <c r="F28" s="22"/>
    </row>
  </sheetData>
  <mergeCells count="2">
    <mergeCell ref="A1:F1"/>
    <mergeCell ref="A28:F28"/>
  </mergeCells>
  <printOptions headings="false" gridLines="false" gridLinesSet="true" horizontalCentered="false" verticalCentered="false"/>
  <pageMargins left="0.75" right="0.75" top="1" bottom="1" header="0.5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>&amp;C&amp;Kd0021bEXAMPLE ONLY – NOT A REAL, FORMAL OR OFFICIAL PROPOSAL</oddHeader>
    <oddFooter>&amp;C&amp;Kd0021bEXAMPLE ONLY – NOT A REAL, FORMAL OR OFFICIAL PROPOSAL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2026-10-26T11:19:34Z</dcterms:created>
  <dc:creator>openpyxl</dc:creator>
  <dc:description/>
  <dc:language>en-US</dc:language>
  <cp:lastModifiedBy/>
  <dcterms:modified xsi:type="dcterms:W3CDTF">2026-10-26T11:19:34Z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