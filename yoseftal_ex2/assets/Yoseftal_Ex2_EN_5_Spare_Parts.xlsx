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re pa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<sst xmlns="http://schemas.openxmlformats.org/spreadsheetml/2006/main" count="29" uniqueCount="29">
  <si>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IMPORTANT – THIS IS NOT A REAL, FORMAL OR OFFICIAL PROPOSAL. It is an example only, prepared to support the offer that Orad must make to the end client.</t>
  </si>
  <si>
    <t xml:space="preserve">Spare parts – list and quotation – Example Proposal 2</t>
  </si>
  <si>
    <t xml:space="preserve">Example Proposal 2 · Yoseftal Medical Center, Eilat · ORAD-YOS-EX2-2026-10 · 26/10/2026</t>
  </si>
  <si>
    <t xml:space="preserve">2 ward sections · 13 rooms × 3 beds (8 + 5) · 13 en-suite bathrooms · 2 nurse stations · 1 shared server</t>
  </si>
  <si>
    <t xml:space="preserve">Orad discount (all items)</t>
  </si>
  <si>
    <t xml:space="preserve">Recommended stock of spare parts for maintenance (about 8–10% of the installed devices and controllers).</t>
  </si>
  <si>
    <t xml:space="preserve">Code</t>
  </si>
  <si>
    <t xml:space="preserve">Description</t>
  </si>
  <si>
    <t xml:space="preserve">Qty</t>
  </si>
  <si>
    <t xml:space="preserve">List price</t>
  </si>
  <si>
    <t xml:space="preserve">Disc.</t>
  </si>
  <si>
    <t xml:space="preserve">Net price</t>
  </si>
  <si>
    <t xml:space="preserve">Amount</t>
  </si>
  <si>
    <t xml:space="preserve">ACE82012153</t>
  </si>
  <si>
    <t xml:space="preserve">Bed call panel, red, with bayonet socket for pear handset
1-module PVC panel 114×114 mm, red 30 mm domed button with Braille and reassurance LED, female bayonet pigtail for the pear handset. One per bed, at the bed head (h 1.15 m).</t>
  </si>
  <si>
    <t xml:space="preserve">ACE39060521</t>
  </si>
  <si>
    <t xml:space="preserve">Pear handset, 1 capacitive button, 2 m cable, bayonet
Hand-held call button for the patient in bed, antibacterial plastic, reassurance LED and Braille; plugs into the bed call panel.</t>
  </si>
  <si>
    <t xml:space="preserve">ACE82082137</t>
  </si>
  <si>
    <t xml:space="preserve">Presence / cancel panel, green
1-module PVC panel, green 30 mm button: the nurse marks presence and cancels the call. Inside each room by the door and outside each bathroom (h 1.35 m).</t>
  </si>
  <si>
    <t xml:space="preserve">ACE40320303</t>
  </si>
  <si>
    <t xml:space="preserve">SOS mechanism with pull-cord (toilet / shower)
45×45 SOS mechanism on 80×80 European frame, 2 m nylon cord with ergonomic handle and anti-break device. One beside the toilet and one beside the shower (h 1.85 m).</t>
  </si>
  <si>
    <t xml:space="preserve">ECV169</t>
  </si>
  <si>
    <t xml:space="preserve">Room controller PCB 24 pins, 12–48 V DC
Up to 5 alarm inputs and 1 light output, in a junction box near the call point; daisy-chained on a 2×2×0.8 mm bus (RS485 + 12–48 V) from the SmartHub. 2 per 3-bed room, 1 per bathroom.</t>
  </si>
  <si>
    <t xml:space="preserve">EOP004</t>
  </si>
  <si>
    <t xml:space="preserve">Corridor light, 3 colours (red · green · blue)
LED door light with LEGRAND frame, cover and diffuser, above each room and bathroom door (h 2.42 m): red = call, green = presence, blue = code blue.</t>
  </si>
  <si>
    <t xml:space="preserve">TOTAL SPARE PARTS (net to Orad)</t>
  </si>
  <si>
    <t xml:space="preserve">Currency: EUR · prices ExW (Incoterms 2020) · VAT not included</t>
  </si>
  <si>
    <t xml:space="preserve">Yellow = editable input (discount, estimate or price to confirm). Blue = input, black = formula. Change the yellow discount cell to apply a new discount to everything, or change a category / line discount.</t>
  </si>
  <si>
    <t xml:space="preserve">EXAMPLE ONLY – NOT A REAL, FORMAL OR OFFICIAL PROPOSAL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</si>
</sst>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€ &quot;#,##0.00;&quot;(€ 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0021B"/>
      <name val="Arial"/>
      <family val="0"/>
      <charset val="1"/>
    </font>
    <font>
      <b val="true"/>
      <sz val="16"/>
      <color rgb="FF2B275B"/>
      <name val="Arial"/>
      <family val="0"/>
      <charset val="1"/>
    </font>
    <font>
      <sz val="10"/>
      <color rgb="FF6B74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DECEC"/>
        <bgColor rgb="FFFBE9DD"/>
      </patternFill>
    </fill>
    <fill>
      <patternFill patternType="solid">
        <fgColor rgb="FFFFFF00"/>
        <bgColor rgb="FFFFFF00"/>
      </patternFill>
    </fill>
    <fill>
      <patternFill patternType="solid">
        <fgColor rgb="FF2B275B"/>
        <bgColor rgb="FF333399"/>
      </patternFill>
    </fill>
    <fill>
      <patternFill patternType="solid">
        <fgColor rgb="FFFBE9DD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106920</xdr:rowOff>
    </xdr:from>
    <xdr:to>
      <xdr:col>0</xdr:col>
      <xdr:colOff>533160</xdr:colOff>
      <xdr:row>9</xdr:row>
      <xdr:rowOff>363960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1718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383040</xdr:rowOff>
    </xdr:from>
    <xdr:to>
      <xdr:col>0</xdr:col>
      <xdr:colOff>533160</xdr:colOff>
      <xdr:row>10</xdr:row>
      <xdr:rowOff>363600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7241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383040</xdr:rowOff>
    </xdr:from>
    <xdr:to>
      <xdr:col>0</xdr:col>
      <xdr:colOff>533160</xdr:colOff>
      <xdr:row>11</xdr:row>
      <xdr:rowOff>363600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2767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382680</xdr:rowOff>
    </xdr:from>
    <xdr:to>
      <xdr:col>0</xdr:col>
      <xdr:colOff>533160</xdr:colOff>
      <xdr:row>12</xdr:row>
      <xdr:rowOff>363600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38289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383040</xdr:rowOff>
    </xdr:from>
    <xdr:to>
      <xdr:col>0</xdr:col>
      <xdr:colOff>533160</xdr:colOff>
      <xdr:row>13</xdr:row>
      <xdr:rowOff>363600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43815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382680</xdr:rowOff>
    </xdr:from>
    <xdr:to>
      <xdr:col>0</xdr:col>
      <xdr:colOff>533160</xdr:colOff>
      <xdr:row>14</xdr:row>
      <xdr:rowOff>363600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49338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62"/>
    <col collapsed="false" customWidth="true" hidden="false" outlineLevel="0" max="4" min="4" style="0" width="4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C6" s="4" t="s">
        <v>4</v>
      </c>
      <c r="G6" s="5" t="n">
        <v>0.3</v>
      </c>
    </row>
    <row r="7" customFormat="false" ht="28.35" hidden="false" customHeight="false" outlineLevel="0" collapsed="false">
      <c r="C7" s="6" t="s">
        <v>5</v>
      </c>
    </row>
    <row r="9" customFormat="false" ht="21.75" hidden="false" customHeight="true" outlineLevel="0" collapsed="false">
      <c r="A9" s="7"/>
      <c r="B9" s="7" t="s">
        <v>6</v>
      </c>
      <c r="C9" s="7" t="s">
        <v>7</v>
      </c>
      <c r="D9" s="7"/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</row>
    <row r="10" customFormat="false" ht="43.5" hidden="false" customHeight="true" outlineLevel="0" collapsed="false">
      <c r="A10" s="8"/>
      <c r="B10" s="9" t="s">
        <v>13</v>
      </c>
      <c r="C10" s="10" t="s">
        <v>14</v>
      </c>
      <c r="D10" s="10"/>
      <c r="E10" s="11" t="n">
        <v>3</v>
      </c>
      <c r="F10" s="12" t="n">
        <v>95.9</v>
      </c>
      <c r="G10" s="13" t="n">
        <f aca="false">$G$6</f>
        <v>0.3</v>
      </c>
      <c r="H10" s="14" t="n">
        <f aca="false">ROUND(F10*(1-G10),2)</f>
        <v>67.13</v>
      </c>
      <c r="I10" s="14" t="n">
        <f aca="false">E10*H10</f>
        <v>201.39</v>
      </c>
    </row>
    <row r="11" customFormat="false" ht="43.5" hidden="false" customHeight="true" outlineLevel="0" collapsed="false">
      <c r="A11" s="8"/>
      <c r="B11" s="9" t="s">
        <v>15</v>
      </c>
      <c r="C11" s="10" t="s">
        <v>16</v>
      </c>
      <c r="D11" s="10"/>
      <c r="E11" s="11" t="n">
        <v>6</v>
      </c>
      <c r="F11" s="12" t="n">
        <v>80.07</v>
      </c>
      <c r="G11" s="13" t="n">
        <f aca="false">$G$6</f>
        <v>0.3</v>
      </c>
      <c r="H11" s="14" t="n">
        <f aca="false">ROUND(F11*(1-G11),2)</f>
        <v>56.05</v>
      </c>
      <c r="I11" s="14" t="n">
        <f aca="false">E11*H11</f>
        <v>336.3</v>
      </c>
    </row>
    <row r="12" customFormat="false" ht="43.5" hidden="false" customHeight="true" outlineLevel="0" collapsed="false">
      <c r="A12" s="8"/>
      <c r="B12" s="9" t="s">
        <v>17</v>
      </c>
      <c r="C12" s="10" t="s">
        <v>18</v>
      </c>
      <c r="D12" s="10"/>
      <c r="E12" s="11" t="n">
        <v>3</v>
      </c>
      <c r="F12" s="12" t="n">
        <v>95.9</v>
      </c>
      <c r="G12" s="13" t="n">
        <f aca="false">$G$6</f>
        <v>0.3</v>
      </c>
      <c r="H12" s="14" t="n">
        <f aca="false">ROUND(F12*(1-G12),2)</f>
        <v>67.13</v>
      </c>
      <c r="I12" s="14" t="n">
        <f aca="false">E12*H12</f>
        <v>201.39</v>
      </c>
    </row>
    <row r="13" customFormat="false" ht="43.5" hidden="false" customHeight="true" outlineLevel="0" collapsed="false">
      <c r="A13" s="8"/>
      <c r="B13" s="9" t="s">
        <v>19</v>
      </c>
      <c r="C13" s="10" t="s">
        <v>20</v>
      </c>
      <c r="D13" s="10"/>
      <c r="E13" s="11" t="n">
        <v>3</v>
      </c>
      <c r="F13" s="12" t="n">
        <v>63</v>
      </c>
      <c r="G13" s="13" t="n">
        <f aca="false">$G$6</f>
        <v>0.3</v>
      </c>
      <c r="H13" s="14" t="n">
        <f aca="false">ROUND(F13*(1-G13),2)</f>
        <v>44.1</v>
      </c>
      <c r="I13" s="14" t="n">
        <f aca="false">E13*H13</f>
        <v>132.3</v>
      </c>
    </row>
    <row r="14" customFormat="false" ht="43.5" hidden="false" customHeight="true" outlineLevel="0" collapsed="false">
      <c r="A14" s="8"/>
      <c r="B14" s="9" t="s">
        <v>21</v>
      </c>
      <c r="C14" s="10" t="s">
        <v>22</v>
      </c>
      <c r="D14" s="10"/>
      <c r="E14" s="11" t="n">
        <v>3</v>
      </c>
      <c r="F14" s="12" t="n">
        <v>163.27</v>
      </c>
      <c r="G14" s="13" t="n">
        <f aca="false">$G$6</f>
        <v>0.3</v>
      </c>
      <c r="H14" s="14" t="n">
        <f aca="false">ROUND(F14*(1-G14),2)</f>
        <v>114.29</v>
      </c>
      <c r="I14" s="14" t="n">
        <f aca="false">E14*H14</f>
        <v>342.87</v>
      </c>
    </row>
    <row r="15" customFormat="false" ht="43.5" hidden="false" customHeight="true" outlineLevel="0" collapsed="false">
      <c r="A15" s="8"/>
      <c r="B15" s="9" t="s">
        <v>23</v>
      </c>
      <c r="C15" s="10" t="s">
        <v>24</v>
      </c>
      <c r="D15" s="10"/>
      <c r="E15" s="11" t="n">
        <v>3</v>
      </c>
      <c r="F15" s="12" t="n">
        <v>183.67</v>
      </c>
      <c r="G15" s="13" t="n">
        <f aca="false">$G$6</f>
        <v>0.3</v>
      </c>
      <c r="H15" s="14" t="n">
        <f aca="false">ROUND(F15*(1-G15),2)</f>
        <v>128.57</v>
      </c>
      <c r="I15" s="14" t="n">
        <f aca="false">E15*H15</f>
        <v>385.71</v>
      </c>
    </row>
    <row r="16" customFormat="false" ht="15" hidden="false" customHeight="false" outlineLevel="0" collapsed="false">
      <c r="A16" s="15"/>
      <c r="B16" s="15"/>
      <c r="C16" s="16" t="s">
        <v>25</v>
      </c>
      <c r="D16" s="15"/>
      <c r="E16" s="15"/>
      <c r="F16" s="15"/>
      <c r="G16" s="15"/>
      <c r="H16" s="15"/>
      <c r="I16" s="17" t="n">
        <f aca="false">SUM(I10:I15)</f>
        <v>1599.96</v>
      </c>
    </row>
    <row r="18" customFormat="false" ht="15" hidden="false" customHeight="false" outlineLevel="0" collapsed="false">
      <c r="C18" s="3" t="s">
        <v>26</v>
      </c>
    </row>
    <row r="19" customFormat="false" ht="39.75" hidden="false" customHeight="true" outlineLevel="0" collapsed="false">
      <c r="C19" s="6" t="s">
        <v>27</v>
      </c>
    </row>
    <row r="21" customFormat="false" ht="15" hidden="false" customHeight="false" outlineLevel="0" collapsed="false">
      <c r="A21" s="18" t="s">
        <v>28</v>
      </c>
      <c r="B21" s="18"/>
      <c r="C21" s="18"/>
      <c r="D21" s="18"/>
      <c r="E21" s="18"/>
      <c r="F21" s="18"/>
      <c r="G21" s="18"/>
      <c r="H21" s="18"/>
      <c r="I21" s="18"/>
    </row>
  </sheetData>
  <mergeCells count="2">
    <mergeCell ref="A1:I1"/>
    <mergeCell ref="A21:I21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2026-10-26T11:19:34Z</dcterms:created>
  <dc:creator>openpyxl</dc:creator>
  <dc:description/>
  <dc:language>en-US</dc:language>
  <cp:lastModifiedBy/>
  <dcterms:modified xsi:type="dcterms:W3CDTF">2026-10-26T11:19:34Z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