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4.png" ContentType="image/png"/>
  <Override PartName="/xl/media/image5.png" ContentType="image/png"/>
  <Override PartName="/xl/media/image6.png" ContentType="image/png"/>
  <Override PartName="/xl/media/image10.png" ContentType="image/png"/>
  <Override PartName="/xl/media/image1.png" ContentType="image/png"/>
  <Override PartName="/xl/media/image7.png" ContentType="image/png"/>
  <Override PartName="/xl/media/image11.png" ContentType="image/png"/>
  <Override PartName="/xl/media/image2.png" ContentType="image/png"/>
  <Override PartName="/xl/media/image8.png" ContentType="image/png"/>
  <Override PartName="/xl/media/image12.png" ContentType="image/png"/>
  <Override PartName="/xl/media/image3.png" ContentType="image/png"/>
  <Override PartName="/xl/media/image9.png" ContentType="image/png"/>
  <Override PartName="/xl/media/image13.png" ContentType="image/png"/>
  <Override PartName="/xl/media/image4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posa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<sst xmlns="http://schemas.openxmlformats.org/spreadsheetml/2006/main" count="95" uniqueCount="86">
  <si>
    <t xml:space="preserve">IMPORTANT – THIS IS NOT A REAL, FORMAL OR OFFICIAL PROPOSAL. It is an example only, prepared to support the offer that Orad must make to the end client.</t>
  </si>
  <si>
    <t xml:space="preserve">Technical-Commercial Proposal – Example Proposal 1</t>
  </si>
  <si>
    <t xml:space="preserve">Example Proposal 1 · Yoseftal Medical Center, Eilat · ORAD-YOS-EX1-2026-10 · 26/10/2026</t>
  </si>
  <si>
    <t xml:space="preserve">1 ward section · 8 rooms × 3 beds · 8 en-suite bathrooms · 1 nurse station</t>
  </si>
  <si>
    <t xml:space="preserve">Orad discount (all items)</t>
  </si>
  <si>
    <t xml:space="preserve">Currency: EUR · prices ExW (Incoterms 2020) · VAT not included</t>
  </si>
  <si>
    <t xml:space="preserve">Code</t>
  </si>
  <si>
    <t xml:space="preserve">Description</t>
  </si>
  <si>
    <t xml:space="preserve">Location</t>
  </si>
  <si>
    <t xml:space="preserve">Qty</t>
  </si>
  <si>
    <t xml:space="preserve">List price</t>
  </si>
  <si>
    <t xml:space="preserve">Disc.</t>
  </si>
  <si>
    <t xml:space="preserve">Net price</t>
  </si>
  <si>
    <t xml:space="preserve">Amount</t>
  </si>
  <si>
    <t xml:space="preserve">Nurse call devices – rooms and bathrooms</t>
  </si>
  <si>
    <t xml:space="preserve">Category discount</t>
  </si>
  <si>
    <t xml:space="preserve">ACE82012153</t>
  </si>
  <si>
    <t xml:space="preserve">Bed call panel, red, with bayonet socket for pear handset
1-module PVC panel 114×114 mm, red 30 mm domed button with Braille and reassurance LED, female bayonet pigtail for the pear handset. One per bed, at the bed head (h 1.15 m).</t>
  </si>
  <si>
    <t xml:space="preserve">3 per room × 8 rooms</t>
  </si>
  <si>
    <t xml:space="preserve">ACE39060521</t>
  </si>
  <si>
    <t xml:space="preserve">Pear handset, 1 capacitive button, 2 m cable, bayonet
Hand-held call button for the patient in bed, antibacterial plastic, reassurance LED and Braille; plugs into the bed call panel.</t>
  </si>
  <si>
    <t xml:space="preserve">1 per bed × 24 beds</t>
  </si>
  <si>
    <t xml:space="preserve">ACE82082137</t>
  </si>
  <si>
    <t xml:space="preserve">Presence / cancel panel, green
1-module PVC panel, green 30 mm button: the nurse marks presence and cancels the call. Inside each room by the door and outside each bathroom (h 1.35 m).</t>
  </si>
  <si>
    <t xml:space="preserve">8 rooms (by the door) + 8 bathrooms (outside)</t>
  </si>
  <si>
    <t xml:space="preserve">ACE40320303</t>
  </si>
  <si>
    <t xml:space="preserve">SOS mechanism with pull-cord (toilet / shower)
45×45 SOS mechanism on 80×80 European frame, 2 m nylon cord with ergonomic handle and anti-break device. One beside the toilet and one beside the shower (h 1.85 m).</t>
  </si>
  <si>
    <t xml:space="preserve">2 per bathroom (toilet + shower) × 8</t>
  </si>
  <si>
    <t xml:space="preserve">EOP004</t>
  </si>
  <si>
    <t xml:space="preserve">Corridor light, 3 colours (red · green · blue)
LED door light with LEGRAND frame, cover and diffuser, above each room and bathroom door (h 2.42 m): red = call, green = presence, blue = code blue.</t>
  </si>
  <si>
    <t xml:space="preserve">8 rooms + 8 bathrooms (above the door)</t>
  </si>
  <si>
    <t xml:space="preserve">Subtotal – Nurse call devices – rooms and bathrooms</t>
  </si>
  <si>
    <t xml:space="preserve">Digital Room – Shabbat system (controllers, server, nurse station, licences)</t>
  </si>
  <si>
    <t xml:space="preserve">ECV169</t>
  </si>
  <si>
    <t xml:space="preserve">Room controller PCB 24 pins, 12–48 V DC
Up to 5 alarm inputs and 1 light output, in a junction box near the call point; daisy-chained on a 2×2×0.8 mm bus (RS485 + 12–48 V) from the SmartHub. 2 per 3-bed room, 1 per bathroom.</t>
  </si>
  <si>
    <t xml:space="preserve">2 per room + 1 per bathroom = 24</t>
  </si>
  <si>
    <t xml:space="preserve">EVV049</t>
  </si>
  <si>
    <t xml:space="preserve">SmartHub connectia – head of the controller bus
19" 1U, 230 VAC input, 12–48 V DC output to the PCB bus; gateway to the IP network. One per ward section.</t>
  </si>
  <si>
    <t xml:space="preserve">1 per ward section</t>
  </si>
  <si>
    <t xml:space="preserve">EOP006</t>
  </si>
  <si>
    <t xml:space="preserve">LVNS server – local server &amp; notifications
Central server: manages every call, presence and alarm, sends them to the nurse iPads and keeps the history. One server serves all ward sections.</t>
  </si>
  <si>
    <t xml:space="preserve">1 server for the whole system</t>
  </si>
  <si>
    <t xml:space="preserve">EOP002</t>
  </si>
  <si>
    <t xml:space="preserve">Nurse station iPad 10.9" Wi-Fi 128 GB
Nurse station outside the rooms: receives and resolves every call (Consola Monitor), sets or cancels presence in any room. Includes case, desk stand and charger.</t>
  </si>
  <si>
    <t xml:space="preserve">1 per nurse station</t>
  </si>
  <si>
    <t xml:space="preserve">EVV038</t>
  </si>
  <si>
    <t xml:space="preserve">ionTab client/server licences + MDM (1st year included)
Licences for the nurse iPad, the room PCBs, the SmartHub and the LVNS server, plus device management (MDM). Per ward section – quantity per PCB to be confirmed by ACE BG.</t>
  </si>
  <si>
    <t xml:space="preserve">Subtotal – Digital Room – Shabbat system (controllers, server, nurse station, licences)</t>
  </si>
  <si>
    <t xml:space="preserve">Network &amp; rack (switch, rack, UPS, Wi-Fi)</t>
  </si>
  <si>
    <t xml:space="preserve">ACESWP24P</t>
  </si>
  <si>
    <t xml:space="preserve">PoE switch 24 ports, managed
Network switch in the rack: connects the SmartHub, the LVNS server and the Wi-Fi access point.</t>
  </si>
  <si>
    <t xml:space="preserve">1 per ward section rack</t>
  </si>
  <si>
    <t xml:space="preserve">RACK9U</t>
  </si>
  <si>
    <t xml:space="preserve">Wall rack 19" 9U with PDU, shelf and cable management
Local supply (Orad) – estimate, to confirm.</t>
  </si>
  <si>
    <t xml:space="preserve">UPS1500</t>
  </si>
  <si>
    <t xml:space="preserve">UPS 1500 VA online, rack mount
Local supply (Orad) – estimate, to confirm. Keeps the system running during power cuts.</t>
  </si>
  <si>
    <t xml:space="preserve">1 per rack</t>
  </si>
  <si>
    <t xml:space="preserve">WAP6</t>
  </si>
  <si>
    <t xml:space="preserve">Wi-Fi 6 access point, PoE, at the nurse station
Local supply (Orad) – estimate, to confirm (if the hospital Wi-Fi is not used).</t>
  </si>
  <si>
    <t xml:space="preserve">Subtotal – Network &amp; rack (switch, rack, UPS, Wi-Fi)</t>
  </si>
  <si>
    <t xml:space="preserve">TOTAL SYSTEM (net to Orad)</t>
  </si>
  <si>
    <t xml:space="preserve">Not in the total – to confirm / optional</t>
  </si>
  <si>
    <t xml:space="preserve">SW-UPD</t>
  </si>
  <si>
    <t xml:space="preserve">Software licences &amp; updates – years 2 and 3
Year 1 is included in the system price (EVV038). Years 2–3: price to be confirmed by ACE BG.</t>
  </si>
  <si>
    <t xml:space="preserve">2 years</t>
  </si>
  <si>
    <t xml:space="preserve">SW-MAINT</t>
  </si>
  <si>
    <t xml:space="preserve">Optional: full remote support
Optional service, 15% of the system total per year.</t>
  </si>
  <si>
    <t xml:space="preserve">per year</t>
  </si>
  <si>
    <t xml:space="preserve">SPARES</t>
  </si>
  <si>
    <t xml:space="preserve">Recommended spare parts
See the separate spare-parts quotation.</t>
  </si>
  <si>
    <t xml:space="preserve">1 set</t>
  </si>
  <si>
    <t xml:space="preserve">Summary</t>
  </si>
  <si>
    <t xml:space="preserve">Not included</t>
  </si>
  <si>
    <t xml:space="preserve">• Cabling, conduits, trays, junction boxes and back boxes (quantities in the BOQ)</t>
  </si>
  <si>
    <t xml:space="preserve">• Installation, programming and on-site commissioning (local subcontractor / Orad)</t>
  </si>
  <si>
    <t xml:space="preserve">• Hospital LAN / Wi-Fi integration works</t>
  </si>
  <si>
    <t xml:space="preserve">• VAT, transport, customs and insurance</t>
  </si>
  <si>
    <t xml:space="preserve">• Code Blue (can be added on request)</t>
  </si>
  <si>
    <t xml:space="preserve">Comments</t>
  </si>
  <si>
    <t xml:space="preserve">• Prices: ACE BG net prices to Orad, from the reference quotation for Yoseftal (Shabbat option). List price = net ÷ 0.70 (Orad discount 30%).</t>
  </si>
  <si>
    <t xml:space="preserve">• Yellow = local supply estimate (rack, UPS, Wi-Fi AP) or price to be confirmed.</t>
  </si>
  <si>
    <t xml:space="preserve">• Maximum number of PCBs per SmartHub bus to be confirmed by ACE BG for this scope.</t>
  </si>
  <si>
    <t xml:space="preserve">• Validity: 30 days. Warranty: 1 year on manufactured products. Delivery time: to be confirmed with the order.</t>
  </si>
  <si>
    <t xml:space="preserve">• Discount note: ACE BG prices to Orad already include a 30% discount on the list price (List price = net ÷ 0.70). Version 1.30.</t>
  </si>
  <si>
    <t xml:space="preserve">Yellow = editable input (discount, estimate or price to confirm). Blue = input, black = formula. Change the yellow discount cell to apply a new discount to everything, or change a category / line discount.</t>
  </si>
  <si>
    <t xml:space="preserve">EXAMPLE ONLY – NOT A REAL, FORMAL OR OFFICIAL PROPOSAL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</si>
</sst>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&quot;€ &quot;#,##0.00;&quot;(€ &quot;#,##0.00\)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D0021B"/>
      <name val="Arial"/>
      <family val="0"/>
      <charset val="1"/>
    </font>
    <font>
      <b val="true"/>
      <sz val="16"/>
      <color rgb="FF2B275B"/>
      <name val="Arial"/>
      <family val="0"/>
      <charset val="1"/>
    </font>
    <font>
      <sz val="10"/>
      <color rgb="FF6B748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8"/>
      <color rgb="FF6B748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2B275B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DECEC"/>
        <bgColor rgb="FFFBE9DD"/>
      </patternFill>
    </fill>
    <fill>
      <patternFill patternType="solid">
        <fgColor rgb="FFFFFF00"/>
        <bgColor rgb="FFFFFF00"/>
      </patternFill>
    </fill>
    <fill>
      <patternFill patternType="solid">
        <fgColor rgb="FF2B275B"/>
        <bgColor rgb="FF333399"/>
      </patternFill>
    </fill>
    <fill>
      <patternFill patternType="solid">
        <fgColor rgb="FFE8ECF1"/>
        <bgColor rgb="FFFDECEC"/>
      </patternFill>
    </fill>
    <fill>
      <patternFill patternType="solid">
        <fgColor rgb="FFFBE9DD"/>
        <bgColor rgb="FFFDECE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ED6"/>
      </left>
      <right style="thin">
        <color rgb="FFC9CED6"/>
      </right>
      <top style="thin">
        <color rgb="FFC9CED6"/>
      </top>
      <bottom style="thin">
        <color rgb="FFC9CE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1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0021B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9DD"/>
      <rgbColor rgb="FFE8ECF1"/>
      <rgbColor rgb="FF660066"/>
      <rgbColor rgb="FFFF8080"/>
      <rgbColor rgb="FF0066CC"/>
      <rgbColor rgb="FFC9CE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CE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4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B275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10</xdr:row>
      <xdr:rowOff>0</xdr:rowOff>
    </xdr:from>
    <xdr:to>
      <xdr:col>0</xdr:col>
      <xdr:colOff>532800</xdr:colOff>
      <xdr:row>10</xdr:row>
      <xdr:rowOff>532800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2362320"/>
          <a:ext cx="532800" cy="532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532800</xdr:colOff>
      <xdr:row>11</xdr:row>
      <xdr:rowOff>532800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0" y="2914560"/>
          <a:ext cx="532800" cy="532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532800</xdr:colOff>
      <xdr:row>12</xdr:row>
      <xdr:rowOff>532800</xdr:rowOff>
    </xdr:to>
    <xdr:pic>
      <xdr:nvPicPr>
        <xdr:cNvPr id="2" name="Image 3" descr="Picture"/>
        <xdr:cNvPicPr/>
      </xdr:nvPicPr>
      <xdr:blipFill>
        <a:blip r:embed="rId3"/>
        <a:stretch/>
      </xdr:blipFill>
      <xdr:spPr>
        <a:xfrm>
          <a:off x="0" y="3467160"/>
          <a:ext cx="532800" cy="532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532800</xdr:colOff>
      <xdr:row>13</xdr:row>
      <xdr:rowOff>532800</xdr:rowOff>
    </xdr:to>
    <xdr:pic>
      <xdr:nvPicPr>
        <xdr:cNvPr id="3" name="Image 4" descr="Picture"/>
        <xdr:cNvPicPr/>
      </xdr:nvPicPr>
      <xdr:blipFill>
        <a:blip r:embed="rId4"/>
        <a:stretch/>
      </xdr:blipFill>
      <xdr:spPr>
        <a:xfrm>
          <a:off x="0" y="4019400"/>
          <a:ext cx="532800" cy="532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532800</xdr:colOff>
      <xdr:row>14</xdr:row>
      <xdr:rowOff>532800</xdr:rowOff>
    </xdr:to>
    <xdr:pic>
      <xdr:nvPicPr>
        <xdr:cNvPr id="4" name="Image 5" descr="Picture"/>
        <xdr:cNvPicPr/>
      </xdr:nvPicPr>
      <xdr:blipFill>
        <a:blip r:embed="rId5"/>
        <a:stretch/>
      </xdr:blipFill>
      <xdr:spPr>
        <a:xfrm>
          <a:off x="0" y="4572000"/>
          <a:ext cx="532800" cy="532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532800</xdr:colOff>
      <xdr:row>18</xdr:row>
      <xdr:rowOff>532800</xdr:rowOff>
    </xdr:to>
    <xdr:pic>
      <xdr:nvPicPr>
        <xdr:cNvPr id="5" name="Image 6" descr="Picture"/>
        <xdr:cNvPicPr/>
      </xdr:nvPicPr>
      <xdr:blipFill>
        <a:blip r:embed="rId6"/>
        <a:stretch/>
      </xdr:blipFill>
      <xdr:spPr>
        <a:xfrm>
          <a:off x="0" y="5695920"/>
          <a:ext cx="532800" cy="532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532800</xdr:colOff>
      <xdr:row>19</xdr:row>
      <xdr:rowOff>532800</xdr:rowOff>
    </xdr:to>
    <xdr:pic>
      <xdr:nvPicPr>
        <xdr:cNvPr id="6" name="Image 7" descr="Picture"/>
        <xdr:cNvPicPr/>
      </xdr:nvPicPr>
      <xdr:blipFill>
        <a:blip r:embed="rId7"/>
        <a:stretch/>
      </xdr:blipFill>
      <xdr:spPr>
        <a:xfrm>
          <a:off x="0" y="6248520"/>
          <a:ext cx="532800" cy="532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532800</xdr:colOff>
      <xdr:row>20</xdr:row>
      <xdr:rowOff>532800</xdr:rowOff>
    </xdr:to>
    <xdr:pic>
      <xdr:nvPicPr>
        <xdr:cNvPr id="7" name="Image 8" descr="Picture"/>
        <xdr:cNvPicPr/>
      </xdr:nvPicPr>
      <xdr:blipFill>
        <a:blip r:embed="rId8"/>
        <a:stretch/>
      </xdr:blipFill>
      <xdr:spPr>
        <a:xfrm>
          <a:off x="0" y="6800760"/>
          <a:ext cx="532800" cy="532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532800</xdr:colOff>
      <xdr:row>21</xdr:row>
      <xdr:rowOff>532800</xdr:rowOff>
    </xdr:to>
    <xdr:pic>
      <xdr:nvPicPr>
        <xdr:cNvPr id="8" name="Image 9" descr="Picture"/>
        <xdr:cNvPicPr/>
      </xdr:nvPicPr>
      <xdr:blipFill>
        <a:blip r:embed="rId9"/>
        <a:stretch/>
      </xdr:blipFill>
      <xdr:spPr>
        <a:xfrm>
          <a:off x="0" y="7353360"/>
          <a:ext cx="532800" cy="532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532800</xdr:colOff>
      <xdr:row>22</xdr:row>
      <xdr:rowOff>532800</xdr:rowOff>
    </xdr:to>
    <xdr:pic>
      <xdr:nvPicPr>
        <xdr:cNvPr id="9" name="Image 10" descr="Picture"/>
        <xdr:cNvPicPr/>
      </xdr:nvPicPr>
      <xdr:blipFill>
        <a:blip r:embed="rId10"/>
        <a:stretch/>
      </xdr:blipFill>
      <xdr:spPr>
        <a:xfrm>
          <a:off x="0" y="7905600"/>
          <a:ext cx="532800" cy="532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532800</xdr:colOff>
      <xdr:row>26</xdr:row>
      <xdr:rowOff>532800</xdr:rowOff>
    </xdr:to>
    <xdr:pic>
      <xdr:nvPicPr>
        <xdr:cNvPr id="10" name="Image 11" descr="Picture"/>
        <xdr:cNvPicPr/>
      </xdr:nvPicPr>
      <xdr:blipFill>
        <a:blip r:embed="rId11"/>
        <a:stretch/>
      </xdr:blipFill>
      <xdr:spPr>
        <a:xfrm>
          <a:off x="0" y="9029880"/>
          <a:ext cx="532800" cy="532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532800</xdr:colOff>
      <xdr:row>27</xdr:row>
      <xdr:rowOff>532800</xdr:rowOff>
    </xdr:to>
    <xdr:pic>
      <xdr:nvPicPr>
        <xdr:cNvPr id="11" name="Image 12" descr="Picture"/>
        <xdr:cNvPicPr/>
      </xdr:nvPicPr>
      <xdr:blipFill>
        <a:blip r:embed="rId12"/>
        <a:stretch/>
      </xdr:blipFill>
      <xdr:spPr>
        <a:xfrm>
          <a:off x="0" y="9582120"/>
          <a:ext cx="532800" cy="532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532800</xdr:colOff>
      <xdr:row>28</xdr:row>
      <xdr:rowOff>532800</xdr:rowOff>
    </xdr:to>
    <xdr:pic>
      <xdr:nvPicPr>
        <xdr:cNvPr id="12" name="Image 13" descr="Picture"/>
        <xdr:cNvPicPr/>
      </xdr:nvPicPr>
      <xdr:blipFill>
        <a:blip r:embed="rId13"/>
        <a:stretch/>
      </xdr:blipFill>
      <xdr:spPr>
        <a:xfrm>
          <a:off x="0" y="10134720"/>
          <a:ext cx="532800" cy="532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532800</xdr:colOff>
      <xdr:row>29</xdr:row>
      <xdr:rowOff>532800</xdr:rowOff>
    </xdr:to>
    <xdr:pic>
      <xdr:nvPicPr>
        <xdr:cNvPr id="13" name="Image 14" descr="Picture"/>
        <xdr:cNvPicPr/>
      </xdr:nvPicPr>
      <xdr:blipFill>
        <a:blip r:embed="rId14"/>
        <a:stretch/>
      </xdr:blipFill>
      <xdr:spPr>
        <a:xfrm>
          <a:off x="0" y="10686960"/>
          <a:ext cx="532800" cy="5328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6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5"/>
    <col collapsed="false" customWidth="true" hidden="false" outlineLevel="0" max="3" min="3" style="1" width="62"/>
    <col collapsed="false" customWidth="true" hidden="false" outlineLevel="0" max="4" min="4" style="1" width="26"/>
    <col collapsed="false" customWidth="true" hidden="false" outlineLevel="0" max="5" min="5" style="1" width="7"/>
    <col collapsed="false" customWidth="true" hidden="false" outlineLevel="0" max="6" min="6" style="1" width="13"/>
    <col collapsed="false" customWidth="true" hidden="false" outlineLevel="0" max="7" min="7" style="1" width="9"/>
    <col collapsed="false" customWidth="true" hidden="false" outlineLevel="0" max="8" min="8" style="1" width="13"/>
    <col collapsed="false" customWidth="true" hidden="false" outlineLevel="0" max="9" min="9" style="1" width="15"/>
  </cols>
  <sheetData>
    <row r="1" customFormat="false" ht="33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</row>
    <row r="2" customFormat="false" ht="25.5" hidden="false" customHeight="true" outlineLevel="0" collapsed="false">
      <c r="A2" s="3" t="s">
        <v>1</v>
      </c>
    </row>
    <row r="3" customFormat="false" ht="15" hidden="false" customHeight="false" outlineLevel="0" collapsed="false">
      <c r="A3" s="4" t="s">
        <v>2</v>
      </c>
    </row>
    <row r="4" customFormat="false" ht="15" hidden="false" customHeight="false" outlineLevel="0" collapsed="false">
      <c r="A4" s="4" t="s">
        <v>3</v>
      </c>
    </row>
    <row r="6" customFormat="false" ht="15" hidden="false" customHeight="false" outlineLevel="0" collapsed="false">
      <c r="C6" s="5" t="s">
        <v>4</v>
      </c>
      <c r="G6" s="6" t="n">
        <v>0.3</v>
      </c>
    </row>
    <row r="7" customFormat="false" ht="15" hidden="false" customHeight="false" outlineLevel="0" collapsed="false">
      <c r="C7" s="4" t="s">
        <v>5</v>
      </c>
    </row>
    <row r="9" customFormat="false" ht="21.75" hidden="false" customHeight="true" outlineLevel="0" collapsed="false">
      <c r="A9" s="7"/>
      <c r="B9" s="7" t="s">
        <v>6</v>
      </c>
      <c r="C9" s="7" t="s">
        <v>7</v>
      </c>
      <c r="D9" s="7" t="s">
        <v>8</v>
      </c>
      <c r="E9" s="7" t="s">
        <v>9</v>
      </c>
      <c r="F9" s="7" t="s">
        <v>10</v>
      </c>
      <c r="G9" s="7" t="s">
        <v>11</v>
      </c>
      <c r="H9" s="7" t="s">
        <v>12</v>
      </c>
      <c r="I9" s="7" t="s">
        <v>13</v>
      </c>
    </row>
    <row r="10" customFormat="false" ht="15" hidden="false" customHeight="false" outlineLevel="0" collapsed="false">
      <c r="A10" s="8" t="s">
        <v>14</v>
      </c>
      <c r="B10" s="9"/>
      <c r="C10" s="9"/>
      <c r="D10" s="9"/>
      <c r="E10" s="9"/>
      <c r="F10" s="10" t="s">
        <v>15</v>
      </c>
      <c r="G10" s="11" t="n">
        <f aca="false">$G$6</f>
        <v>0.3</v>
      </c>
      <c r="H10" s="9"/>
      <c r="I10" s="9"/>
    </row>
    <row r="11" customFormat="false" ht="43.5" hidden="false" customHeight="true" outlineLevel="0" collapsed="false">
      <c r="A11" s="12"/>
      <c r="B11" s="13" t="s">
        <v>16</v>
      </c>
      <c r="C11" s="14" t="s">
        <v>17</v>
      </c>
      <c r="D11" s="14" t="s">
        <v>18</v>
      </c>
      <c r="E11" s="15" t="n">
        <v>24</v>
      </c>
      <c r="F11" s="16" t="n">
        <v>95.9</v>
      </c>
      <c r="G11" s="17" t="n">
        <f aca="false">$G$10</f>
        <v>0.3</v>
      </c>
      <c r="H11" s="18" t="n">
        <f aca="false">ROUND(F11*(1-G11),2)</f>
        <v>67.13</v>
      </c>
      <c r="I11" s="18" t="n">
        <f aca="false">E11*H11</f>
        <v>1611.12</v>
      </c>
    </row>
    <row r="12" customFormat="false" ht="43.5" hidden="false" customHeight="true" outlineLevel="0" collapsed="false">
      <c r="A12" s="12"/>
      <c r="B12" s="13" t="s">
        <v>19</v>
      </c>
      <c r="C12" s="14" t="s">
        <v>20</v>
      </c>
      <c r="D12" s="14" t="s">
        <v>21</v>
      </c>
      <c r="E12" s="15" t="n">
        <v>24</v>
      </c>
      <c r="F12" s="16" t="n">
        <v>80.07</v>
      </c>
      <c r="G12" s="17" t="n">
        <f aca="false">$G$10</f>
        <v>0.3</v>
      </c>
      <c r="H12" s="18" t="n">
        <f aca="false">ROUND(F12*(1-G12),2)</f>
        <v>56.05</v>
      </c>
      <c r="I12" s="18" t="n">
        <f aca="false">E12*H12</f>
        <v>1345.2</v>
      </c>
    </row>
    <row r="13" customFormat="false" ht="43.5" hidden="false" customHeight="true" outlineLevel="0" collapsed="false">
      <c r="A13" s="12"/>
      <c r="B13" s="13" t="s">
        <v>22</v>
      </c>
      <c r="C13" s="14" t="s">
        <v>23</v>
      </c>
      <c r="D13" s="14" t="s">
        <v>24</v>
      </c>
      <c r="E13" s="15" t="n">
        <v>16</v>
      </c>
      <c r="F13" s="16" t="n">
        <v>95.9</v>
      </c>
      <c r="G13" s="17" t="n">
        <f aca="false">$G$10</f>
        <v>0.3</v>
      </c>
      <c r="H13" s="18" t="n">
        <f aca="false">ROUND(F13*(1-G13),2)</f>
        <v>67.13</v>
      </c>
      <c r="I13" s="18" t="n">
        <f aca="false">E13*H13</f>
        <v>1074.08</v>
      </c>
    </row>
    <row r="14" customFormat="false" ht="43.5" hidden="false" customHeight="true" outlineLevel="0" collapsed="false">
      <c r="A14" s="12"/>
      <c r="B14" s="13" t="s">
        <v>25</v>
      </c>
      <c r="C14" s="14" t="s">
        <v>26</v>
      </c>
      <c r="D14" s="14" t="s">
        <v>27</v>
      </c>
      <c r="E14" s="15" t="n">
        <v>16</v>
      </c>
      <c r="F14" s="16" t="n">
        <v>63</v>
      </c>
      <c r="G14" s="17" t="n">
        <f aca="false">$G$10</f>
        <v>0.3</v>
      </c>
      <c r="H14" s="18" t="n">
        <f aca="false">ROUND(F14*(1-G14),2)</f>
        <v>44.1</v>
      </c>
      <c r="I14" s="18" t="n">
        <f aca="false">E14*H14</f>
        <v>705.6</v>
      </c>
    </row>
    <row r="15" customFormat="false" ht="43.5" hidden="false" customHeight="true" outlineLevel="0" collapsed="false">
      <c r="A15" s="12"/>
      <c r="B15" s="13" t="s">
        <v>28</v>
      </c>
      <c r="C15" s="14" t="s">
        <v>29</v>
      </c>
      <c r="D15" s="14" t="s">
        <v>30</v>
      </c>
      <c r="E15" s="15" t="n">
        <v>16</v>
      </c>
      <c r="F15" s="16" t="n">
        <v>183.67</v>
      </c>
      <c r="G15" s="17" t="n">
        <f aca="false">$G$10</f>
        <v>0.3</v>
      </c>
      <c r="H15" s="18" t="n">
        <f aca="false">ROUND(F15*(1-G15),2)</f>
        <v>128.57</v>
      </c>
      <c r="I15" s="18" t="n">
        <f aca="false">E15*H15</f>
        <v>2057.12</v>
      </c>
    </row>
    <row r="16" customFormat="false" ht="15" hidden="false" customHeight="false" outlineLevel="0" collapsed="false">
      <c r="C16" s="5" t="s">
        <v>31</v>
      </c>
      <c r="I16" s="19" t="n">
        <f aca="false">SUM(I11:I15)</f>
        <v>6793.12</v>
      </c>
    </row>
    <row r="18" customFormat="false" ht="15" hidden="false" customHeight="false" outlineLevel="0" collapsed="false">
      <c r="A18" s="8" t="s">
        <v>32</v>
      </c>
      <c r="B18" s="9"/>
      <c r="C18" s="9"/>
      <c r="D18" s="9"/>
      <c r="E18" s="9"/>
      <c r="F18" s="10" t="s">
        <v>15</v>
      </c>
      <c r="G18" s="11" t="n">
        <f aca="false">$G$6</f>
        <v>0.3</v>
      </c>
      <c r="H18" s="9"/>
      <c r="I18" s="9"/>
    </row>
    <row r="19" customFormat="false" ht="43.5" hidden="false" customHeight="true" outlineLevel="0" collapsed="false">
      <c r="A19" s="12"/>
      <c r="B19" s="13" t="s">
        <v>33</v>
      </c>
      <c r="C19" s="14" t="s">
        <v>34</v>
      </c>
      <c r="D19" s="14" t="s">
        <v>35</v>
      </c>
      <c r="E19" s="15" t="n">
        <v>24</v>
      </c>
      <c r="F19" s="16" t="n">
        <v>163.27</v>
      </c>
      <c r="G19" s="17" t="n">
        <f aca="false">$G$18</f>
        <v>0.3</v>
      </c>
      <c r="H19" s="18" t="n">
        <f aca="false">ROUND(F19*(1-G19),2)</f>
        <v>114.29</v>
      </c>
      <c r="I19" s="18" t="n">
        <f aca="false">E19*H19</f>
        <v>2742.96</v>
      </c>
    </row>
    <row r="20" customFormat="false" ht="43.5" hidden="false" customHeight="true" outlineLevel="0" collapsed="false">
      <c r="A20" s="12"/>
      <c r="B20" s="13" t="s">
        <v>36</v>
      </c>
      <c r="C20" s="14" t="s">
        <v>37</v>
      </c>
      <c r="D20" s="14" t="s">
        <v>38</v>
      </c>
      <c r="E20" s="15" t="n">
        <v>1</v>
      </c>
      <c r="F20" s="16" t="n">
        <v>1326.53</v>
      </c>
      <c r="G20" s="17" t="n">
        <f aca="false">$G$18</f>
        <v>0.3</v>
      </c>
      <c r="H20" s="18" t="n">
        <f aca="false">ROUND(F20*(1-G20),2)</f>
        <v>928.57</v>
      </c>
      <c r="I20" s="18" t="n">
        <f aca="false">E20*H20</f>
        <v>928.57</v>
      </c>
    </row>
    <row r="21" customFormat="false" ht="43.5" hidden="false" customHeight="true" outlineLevel="0" collapsed="false">
      <c r="A21" s="12"/>
      <c r="B21" s="13" t="s">
        <v>39</v>
      </c>
      <c r="C21" s="14" t="s">
        <v>40</v>
      </c>
      <c r="D21" s="14" t="s">
        <v>41</v>
      </c>
      <c r="E21" s="15" t="n">
        <v>1</v>
      </c>
      <c r="F21" s="16" t="n">
        <v>2653.06</v>
      </c>
      <c r="G21" s="17" t="n">
        <f aca="false">$G$18</f>
        <v>0.3</v>
      </c>
      <c r="H21" s="18" t="n">
        <f aca="false">ROUND(F21*(1-G21),2)</f>
        <v>1857.14</v>
      </c>
      <c r="I21" s="18" t="n">
        <f aca="false">E21*H21</f>
        <v>1857.14</v>
      </c>
    </row>
    <row r="22" customFormat="false" ht="43.5" hidden="false" customHeight="true" outlineLevel="0" collapsed="false">
      <c r="A22" s="12"/>
      <c r="B22" s="13" t="s">
        <v>42</v>
      </c>
      <c r="C22" s="14" t="s">
        <v>43</v>
      </c>
      <c r="D22" s="14" t="s">
        <v>44</v>
      </c>
      <c r="E22" s="15" t="n">
        <v>1</v>
      </c>
      <c r="F22" s="16" t="n">
        <v>936.51</v>
      </c>
      <c r="G22" s="17" t="n">
        <f aca="false">$G$18</f>
        <v>0.3</v>
      </c>
      <c r="H22" s="18" t="n">
        <f aca="false">ROUND(F22*(1-G22),2)</f>
        <v>655.56</v>
      </c>
      <c r="I22" s="18" t="n">
        <f aca="false">E22*H22</f>
        <v>655.56</v>
      </c>
    </row>
    <row r="23" customFormat="false" ht="43.5" hidden="false" customHeight="true" outlineLevel="0" collapsed="false">
      <c r="A23" s="12"/>
      <c r="B23" s="13" t="s">
        <v>45</v>
      </c>
      <c r="C23" s="14" t="s">
        <v>46</v>
      </c>
      <c r="D23" s="14" t="s">
        <v>38</v>
      </c>
      <c r="E23" s="15" t="n">
        <v>1</v>
      </c>
      <c r="F23" s="16" t="n">
        <v>406.13</v>
      </c>
      <c r="G23" s="17" t="n">
        <f aca="false">$G$18</f>
        <v>0.3</v>
      </c>
      <c r="H23" s="18" t="n">
        <f aca="false">ROUND(F23*(1-G23),2)</f>
        <v>284.29</v>
      </c>
      <c r="I23" s="18" t="n">
        <f aca="false">E23*H23</f>
        <v>284.29</v>
      </c>
    </row>
    <row r="24" customFormat="false" ht="15" hidden="false" customHeight="false" outlineLevel="0" collapsed="false">
      <c r="C24" s="5" t="s">
        <v>47</v>
      </c>
      <c r="I24" s="19" t="n">
        <f aca="false">SUM(I19:I23)</f>
        <v>6468.52</v>
      </c>
    </row>
    <row r="26" customFormat="false" ht="15" hidden="false" customHeight="false" outlineLevel="0" collapsed="false">
      <c r="A26" s="8" t="s">
        <v>48</v>
      </c>
      <c r="B26" s="9"/>
      <c r="C26" s="9"/>
      <c r="D26" s="9"/>
      <c r="E26" s="9"/>
      <c r="F26" s="10" t="s">
        <v>15</v>
      </c>
      <c r="G26" s="11" t="n">
        <f aca="false">$G$6</f>
        <v>0.3</v>
      </c>
      <c r="H26" s="9"/>
      <c r="I26" s="9"/>
    </row>
    <row r="27" customFormat="false" ht="43.5" hidden="false" customHeight="true" outlineLevel="0" collapsed="false">
      <c r="A27" s="12"/>
      <c r="B27" s="13" t="s">
        <v>49</v>
      </c>
      <c r="C27" s="14" t="s">
        <v>50</v>
      </c>
      <c r="D27" s="14" t="s">
        <v>51</v>
      </c>
      <c r="E27" s="15" t="n">
        <v>1</v>
      </c>
      <c r="F27" s="16" t="n">
        <v>410.66</v>
      </c>
      <c r="G27" s="17" t="n">
        <f aca="false">$G$26</f>
        <v>0.3</v>
      </c>
      <c r="H27" s="18" t="n">
        <f aca="false">ROUND(F27*(1-G27),2)</f>
        <v>287.46</v>
      </c>
      <c r="I27" s="18" t="n">
        <f aca="false">E27*H27</f>
        <v>287.46</v>
      </c>
    </row>
    <row r="28" customFormat="false" ht="43.5" hidden="false" customHeight="true" outlineLevel="0" collapsed="false">
      <c r="A28" s="12"/>
      <c r="B28" s="13" t="s">
        <v>52</v>
      </c>
      <c r="C28" s="14" t="s">
        <v>53</v>
      </c>
      <c r="D28" s="14" t="s">
        <v>38</v>
      </c>
      <c r="E28" s="15" t="n">
        <v>1</v>
      </c>
      <c r="F28" s="20" t="n">
        <v>457.14</v>
      </c>
      <c r="G28" s="17" t="n">
        <f aca="false">$G$26</f>
        <v>0.3</v>
      </c>
      <c r="H28" s="18" t="n">
        <f aca="false">ROUND(F28*(1-G28),2)</f>
        <v>320</v>
      </c>
      <c r="I28" s="18" t="n">
        <f aca="false">E28*H28</f>
        <v>320</v>
      </c>
    </row>
    <row r="29" customFormat="false" ht="43.5" hidden="false" customHeight="true" outlineLevel="0" collapsed="false">
      <c r="A29" s="12"/>
      <c r="B29" s="13" t="s">
        <v>54</v>
      </c>
      <c r="C29" s="14" t="s">
        <v>55</v>
      </c>
      <c r="D29" s="14" t="s">
        <v>56</v>
      </c>
      <c r="E29" s="15" t="n">
        <v>1</v>
      </c>
      <c r="F29" s="20" t="n">
        <v>685.71</v>
      </c>
      <c r="G29" s="17" t="n">
        <f aca="false">$G$26</f>
        <v>0.3</v>
      </c>
      <c r="H29" s="18" t="n">
        <f aca="false">ROUND(F29*(1-G29),2)</f>
        <v>480</v>
      </c>
      <c r="I29" s="18" t="n">
        <f aca="false">E29*H29</f>
        <v>480</v>
      </c>
    </row>
    <row r="30" customFormat="false" ht="43.5" hidden="false" customHeight="true" outlineLevel="0" collapsed="false">
      <c r="A30" s="12"/>
      <c r="B30" s="13" t="s">
        <v>57</v>
      </c>
      <c r="C30" s="14" t="s">
        <v>58</v>
      </c>
      <c r="D30" s="14" t="s">
        <v>44</v>
      </c>
      <c r="E30" s="15" t="n">
        <v>1</v>
      </c>
      <c r="F30" s="20" t="n">
        <v>314.29</v>
      </c>
      <c r="G30" s="17" t="n">
        <f aca="false">$G$26</f>
        <v>0.3</v>
      </c>
      <c r="H30" s="18" t="n">
        <f aca="false">ROUND(F30*(1-G30),2)</f>
        <v>220</v>
      </c>
      <c r="I30" s="18" t="n">
        <f aca="false">E30*H30</f>
        <v>220</v>
      </c>
    </row>
    <row r="31" customFormat="false" ht="15" hidden="false" customHeight="false" outlineLevel="0" collapsed="false">
      <c r="C31" s="5" t="s">
        <v>59</v>
      </c>
      <c r="I31" s="19" t="n">
        <f aca="false">SUM(I27:I30)</f>
        <v>1307.46</v>
      </c>
    </row>
    <row r="33" customFormat="false" ht="15" hidden="false" customHeight="false" outlineLevel="0" collapsed="false">
      <c r="A33" s="21"/>
      <c r="B33" s="21"/>
      <c r="C33" s="22" t="s">
        <v>60</v>
      </c>
      <c r="D33" s="21"/>
      <c r="E33" s="21"/>
      <c r="F33" s="21"/>
      <c r="G33" s="21"/>
      <c r="H33" s="21"/>
      <c r="I33" s="23" t="n">
        <f aca="false">I16+I24+I31</f>
        <v>14569.1</v>
      </c>
    </row>
    <row r="35" customFormat="false" ht="15" hidden="false" customHeight="false" outlineLevel="0" collapsed="false">
      <c r="A35" s="8" t="s">
        <v>61</v>
      </c>
      <c r="B35" s="9"/>
      <c r="C35" s="9"/>
      <c r="D35" s="9"/>
      <c r="E35" s="9"/>
      <c r="F35" s="9"/>
      <c r="G35" s="9"/>
      <c r="H35" s="9"/>
      <c r="I35" s="9"/>
    </row>
    <row r="36" customFormat="false" ht="36" hidden="false" customHeight="true" outlineLevel="0" collapsed="false">
      <c r="B36" s="5" t="s">
        <v>62</v>
      </c>
      <c r="C36" s="24" t="s">
        <v>63</v>
      </c>
      <c r="D36" s="25" t="s">
        <v>64</v>
      </c>
      <c r="E36" s="1" t="n">
        <v>2</v>
      </c>
      <c r="H36" s="26"/>
      <c r="I36" s="27" t="n">
        <f aca="false">E36*H36</f>
        <v>0</v>
      </c>
    </row>
    <row r="37" customFormat="false" ht="36" hidden="false" customHeight="true" outlineLevel="0" collapsed="false">
      <c r="B37" s="5" t="s">
        <v>65</v>
      </c>
      <c r="C37" s="24" t="s">
        <v>66</v>
      </c>
      <c r="D37" s="25" t="s">
        <v>67</v>
      </c>
      <c r="E37" s="1" t="n">
        <v>1</v>
      </c>
      <c r="G37" s="28" t="n">
        <v>0.15</v>
      </c>
      <c r="I37" s="27" t="n">
        <f aca="false">I33*G37</f>
        <v>2185.365</v>
      </c>
    </row>
    <row r="38" customFormat="false" ht="36" hidden="false" customHeight="true" outlineLevel="0" collapsed="false">
      <c r="B38" s="5" t="s">
        <v>68</v>
      </c>
      <c r="C38" s="24" t="s">
        <v>69</v>
      </c>
      <c r="D38" s="25" t="s">
        <v>70</v>
      </c>
      <c r="E38" s="1" t="n">
        <v>1</v>
      </c>
      <c r="I38" s="27" t="n">
        <v>1066.64</v>
      </c>
    </row>
    <row r="40" customFormat="false" ht="15" hidden="false" customHeight="false" outlineLevel="0" collapsed="false">
      <c r="A40" s="29" t="s">
        <v>71</v>
      </c>
    </row>
    <row r="41" customFormat="false" ht="15" hidden="false" customHeight="false" outlineLevel="0" collapsed="false">
      <c r="C41" s="1" t="s">
        <v>14</v>
      </c>
      <c r="I41" s="27" t="n">
        <f aca="false">I16</f>
        <v>6793.12</v>
      </c>
    </row>
    <row r="42" customFormat="false" ht="15" hidden="false" customHeight="false" outlineLevel="0" collapsed="false">
      <c r="C42" s="1" t="s">
        <v>32</v>
      </c>
      <c r="I42" s="27" t="n">
        <f aca="false">I24</f>
        <v>6468.52</v>
      </c>
    </row>
    <row r="43" customFormat="false" ht="15" hidden="false" customHeight="false" outlineLevel="0" collapsed="false">
      <c r="C43" s="1" t="s">
        <v>48</v>
      </c>
      <c r="I43" s="27" t="n">
        <f aca="false">I31</f>
        <v>1307.46</v>
      </c>
    </row>
    <row r="44" customFormat="false" ht="15" hidden="false" customHeight="false" outlineLevel="0" collapsed="false">
      <c r="C44" s="5" t="s">
        <v>60</v>
      </c>
      <c r="I44" s="19" t="n">
        <f aca="false">I33</f>
        <v>14569.1</v>
      </c>
    </row>
    <row r="46" customFormat="false" ht="15" hidden="false" customHeight="false" outlineLevel="0" collapsed="false">
      <c r="A46" s="5" t="s">
        <v>72</v>
      </c>
    </row>
    <row r="47" customFormat="false" ht="25.5" hidden="false" customHeight="true" outlineLevel="0" collapsed="false">
      <c r="C47" s="24" t="s">
        <v>73</v>
      </c>
    </row>
    <row r="48" customFormat="false" ht="25.5" hidden="false" customHeight="true" outlineLevel="0" collapsed="false">
      <c r="C48" s="24" t="s">
        <v>74</v>
      </c>
    </row>
    <row r="49" customFormat="false" ht="25.5" hidden="false" customHeight="true" outlineLevel="0" collapsed="false">
      <c r="C49" s="24" t="s">
        <v>75</v>
      </c>
    </row>
    <row r="50" customFormat="false" ht="25.5" hidden="false" customHeight="true" outlineLevel="0" collapsed="false">
      <c r="C50" s="24" t="s">
        <v>76</v>
      </c>
    </row>
    <row r="51" customFormat="false" ht="25.5" hidden="false" customHeight="true" outlineLevel="0" collapsed="false">
      <c r="C51" s="24" t="s">
        <v>77</v>
      </c>
    </row>
    <row r="53" customFormat="false" ht="15" hidden="false" customHeight="false" outlineLevel="0" collapsed="false">
      <c r="A53" s="5" t="s">
        <v>78</v>
      </c>
    </row>
    <row r="54" customFormat="false" ht="25.5" hidden="false" customHeight="true" outlineLevel="0" collapsed="false">
      <c r="C54" s="24" t="s">
        <v>79</v>
      </c>
    </row>
    <row r="55" customFormat="false" ht="25.5" hidden="false" customHeight="true" outlineLevel="0" collapsed="false">
      <c r="C55" s="24" t="s">
        <v>80</v>
      </c>
    </row>
    <row r="56" customFormat="false" ht="25.5" hidden="false" customHeight="true" outlineLevel="0" collapsed="false">
      <c r="C56" s="24" t="s">
        <v>81</v>
      </c>
    </row>
    <row r="57" customFormat="false" ht="25.5" hidden="false" customHeight="true" outlineLevel="0" collapsed="false">
      <c r="C57" s="24" t="s">
        <v>82</v>
      </c>
    </row>
    <row r="58" customFormat="false" ht="25.5" hidden="false" customHeight="true" outlineLevel="0" collapsed="false">
      <c r="C58" s="24" t="s">
        <v>83</v>
      </c>
    </row>
    <row r="60" customFormat="false" ht="39.75" hidden="false" customHeight="true" outlineLevel="0" collapsed="false">
      <c r="C60" s="24" t="s">
        <v>84</v>
      </c>
    </row>
    <row r="62" customFormat="false" ht="15" hidden="false" customHeight="false" outlineLevel="0" collapsed="false">
      <c r="A62" s="30" t="s">
        <v>85</v>
      </c>
      <c r="B62" s="30"/>
      <c r="C62" s="30"/>
      <c r="D62" s="30"/>
      <c r="E62" s="30"/>
      <c r="F62" s="30"/>
      <c r="G62" s="30"/>
      <c r="H62" s="30"/>
      <c r="I62" s="30"/>
    </row>
  </sheetData>
  <mergeCells count="2">
    <mergeCell ref="A1:I1"/>
    <mergeCell ref="A62:I62"/>
  </mergeCells>
  <printOptions headings="false" gridLines="false" gridLinesSet="true" horizontalCentered="false" verticalCentered="false"/>
  <pageMargins left="0.75" right="0.75" top="1" bottom="1" header="0.5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&amp;C&amp;Kd0021bEXAMPLE ONLY – NOT A REAL, FORMAL OR OFFICIAL PROPOSAL</oddHeader>
    <oddFooter>&amp;C&amp;Kd0021bEXAMPLE ONLY – NOT A REAL, FORMAL OR OFFICIAL PROPOSAL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2026-10-26T11:19:34Z</dcterms:created>
  <dc:creator>openpyxl</dc:creator>
  <dc:description/>
  <dc:language>en-US</dc:language>
  <cp:lastModifiedBy/>
  <dcterms:modified xsi:type="dcterms:W3CDTF">2026-10-26T11:19:34Z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