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<sst xmlns="http://schemas.openxmlformats.org/spreadsheetml/2006/main" count="147" uniqueCount="113">
  <si>
    <t xml:space="preserve">IMPORTANT – THIS IS NOT A REAL, FORMAL OR OFFICIAL PROPOSAL. It is an example only, prepared to support the offer that Orad must make to the end client.</t>
  </si>
  <si>
    <t xml:space="preserve">BOQ – Bill of quantities – Example Proposal 1</t>
  </si>
  <si>
    <t xml:space="preserve">Example Proposal 1 · Yoseftal Medical Center, Eilat · ORAD-YOS-EX1-2026-10 · 26/10/2026</t>
  </si>
  <si>
    <t xml:space="preserve">1 ward section · 8 rooms × 3 beds · 8 en-suite bathrooms · 1 nurse station</t>
  </si>
  <si>
    <t xml:space="preserve">Quantities only – unit prices to be filled in by Orad / subcontractor (yellow). Cable lengths are estimates from the example layout; confirm on site.</t>
  </si>
  <si>
    <t xml:space="preserve">#</t>
  </si>
  <si>
    <t xml:space="preserve">Code</t>
  </si>
  <si>
    <t xml:space="preserve">Description</t>
  </si>
  <si>
    <t xml:space="preserve">Unit</t>
  </si>
  <si>
    <t xml:space="preserve">Qty</t>
  </si>
  <si>
    <t xml:space="preserve">Unit price</t>
  </si>
  <si>
    <t xml:space="preserve">Total</t>
  </si>
  <si>
    <t xml:space="preserve">Location / remark</t>
  </si>
  <si>
    <t xml:space="preserve">A. EQUIPMENT (nurse call – Shabbat system)</t>
  </si>
  <si>
    <t xml:space="preserve">ACE82012153</t>
  </si>
  <si>
    <t xml:space="preserve">Bed call panel, red, with bayonet socket for pear handset</t>
  </si>
  <si>
    <t xml:space="preserve">pcs</t>
  </si>
  <si>
    <t xml:space="preserve">3 per room × 8 rooms</t>
  </si>
  <si>
    <t xml:space="preserve">ACE39060521</t>
  </si>
  <si>
    <t xml:space="preserve">Pear handset, 1 capacitive button, 2 m cable, bayonet</t>
  </si>
  <si>
    <t xml:space="preserve">1 per bed × 24 beds</t>
  </si>
  <si>
    <t xml:space="preserve">ACE82082137</t>
  </si>
  <si>
    <t xml:space="preserve">Presence / cancel panel, green</t>
  </si>
  <si>
    <t xml:space="preserve">8 rooms (by the door) + 8 bathrooms (outside)</t>
  </si>
  <si>
    <t xml:space="preserve">ACE40320303</t>
  </si>
  <si>
    <t xml:space="preserve">SOS mechanism with pull-cord (toilet / shower)</t>
  </si>
  <si>
    <t xml:space="preserve">2 per bathroom (toilet + shower) × 8</t>
  </si>
  <si>
    <t xml:space="preserve">EOP004</t>
  </si>
  <si>
    <t xml:space="preserve">Corridor light, 3 colours (red · green · blue)</t>
  </si>
  <si>
    <t xml:space="preserve">8 rooms + 8 bathrooms (above the door)</t>
  </si>
  <si>
    <t xml:space="preserve">ECV169</t>
  </si>
  <si>
    <t xml:space="preserve">Room controller PCB 24 pins, 12–48 V DC</t>
  </si>
  <si>
    <t xml:space="preserve">2 per room + 1 per bathroom = 24</t>
  </si>
  <si>
    <t xml:space="preserve">EVV049</t>
  </si>
  <si>
    <t xml:space="preserve">SmartHub connectia – head of the controller bus</t>
  </si>
  <si>
    <t xml:space="preserve">1 per ward section</t>
  </si>
  <si>
    <t xml:space="preserve">EOP006</t>
  </si>
  <si>
    <t xml:space="preserve">LVNS server – local server &amp; notifications</t>
  </si>
  <si>
    <t xml:space="preserve">1 server for the whole system</t>
  </si>
  <si>
    <t xml:space="preserve">EOP002</t>
  </si>
  <si>
    <t xml:space="preserve">Nurse station iPad 10.9" Wi-Fi 128 GB</t>
  </si>
  <si>
    <t xml:space="preserve">1 per nurse station</t>
  </si>
  <si>
    <t xml:space="preserve">EVV038</t>
  </si>
  <si>
    <t xml:space="preserve">ionTab client/server licences + MDM (1st year included)</t>
  </si>
  <si>
    <t xml:space="preserve">ACESWP24P</t>
  </si>
  <si>
    <t xml:space="preserve">PoE switch 24 ports, managed</t>
  </si>
  <si>
    <t xml:space="preserve">1 per ward section rack</t>
  </si>
  <si>
    <t xml:space="preserve">RACK9U</t>
  </si>
  <si>
    <t xml:space="preserve">Wall rack 19" 9U with PDU, shelf and cable management</t>
  </si>
  <si>
    <t xml:space="preserve">UPS1500</t>
  </si>
  <si>
    <t xml:space="preserve">UPS 1500 VA online, rack mount</t>
  </si>
  <si>
    <t xml:space="preserve">1 per rack</t>
  </si>
  <si>
    <t xml:space="preserve">WAP6</t>
  </si>
  <si>
    <t xml:space="preserve">Wi-Fi 6 access point, PoE, at the nurse station</t>
  </si>
  <si>
    <t xml:space="preserve">Subtotal</t>
  </si>
  <si>
    <t xml:space="preserve">B. CABLING AND CONTAINMENT</t>
  </si>
  <si>
    <t xml:space="preserve">CB-BUS</t>
  </si>
  <si>
    <t xml:space="preserve">Bus cable 2×2×0.8 mm (RS485 + 12–48 V) – PCB daisy chain</t>
  </si>
  <si>
    <t xml:space="preserve">m</t>
  </si>
  <si>
    <t xml:space="preserve">≈ corridor 30 m + rack drops + 15%</t>
  </si>
  <si>
    <t xml:space="preserve">CB-UTP6</t>
  </si>
  <si>
    <t xml:space="preserve">UTP Cat6 cable – device drops to the PCBs</t>
  </si>
  <si>
    <t xml:space="preserve">9 devices per room unit × 8 × ~12 m + 10%</t>
  </si>
  <si>
    <t xml:space="preserve">CB-JB</t>
  </si>
  <si>
    <t xml:space="preserve">Junction box for room controller (PCB) in ceiling</t>
  </si>
  <si>
    <t xml:space="preserve">1 per PCB</t>
  </si>
  <si>
    <t xml:space="preserve">CB-BB</t>
  </si>
  <si>
    <t xml:space="preserve">Flush back box for wall devices</t>
  </si>
  <si>
    <t xml:space="preserve">bed panels, presence, SOS, lights</t>
  </si>
  <si>
    <t xml:space="preserve">CB-TRAY</t>
  </si>
  <si>
    <t xml:space="preserve">Cable tray / conduit in corridor ceiling</t>
  </si>
  <si>
    <t xml:space="preserve">corridor length + 10%</t>
  </si>
  <si>
    <t xml:space="preserve">CB-PWR</t>
  </si>
  <si>
    <t xml:space="preserve">230 V dedicated circuit to each rack</t>
  </si>
  <si>
    <t xml:space="preserve">lot</t>
  </si>
  <si>
    <t xml:space="preserve">by the electrician</t>
  </si>
  <si>
    <t xml:space="preserve">C. INSTALLATION AND COMMISSIONING</t>
  </si>
  <si>
    <t xml:space="preserve">INS-DEV</t>
  </si>
  <si>
    <t xml:space="preserve">Mounting and connection of wall devices</t>
  </si>
  <si>
    <t xml:space="preserve">INS-PCB</t>
  </si>
  <si>
    <t xml:space="preserve">Installation and wiring of room controllers (PCB)</t>
  </si>
  <si>
    <t xml:space="preserve">INS-RACK</t>
  </si>
  <si>
    <t xml:space="preserve">Rack assembly: SmartHub, server, switch, UPS</t>
  </si>
  <si>
    <t xml:space="preserve">INS-WIFI</t>
  </si>
  <si>
    <t xml:space="preserve">Wi-Fi access point and nurse iPad set-up</t>
  </si>
  <si>
    <t xml:space="preserve">INS-PRG</t>
  </si>
  <si>
    <t xml:space="preserve">Programming, commissioning and test of every call point</t>
  </si>
  <si>
    <t xml:space="preserve">bed + SOS + presence points</t>
  </si>
  <si>
    <t xml:space="preserve">INS-ASB</t>
  </si>
  <si>
    <t xml:space="preserve">As-built drawings and handover protocol</t>
  </si>
  <si>
    <t xml:space="preserve">D. TRAINING</t>
  </si>
  <si>
    <t xml:space="preserve">TR-USR</t>
  </si>
  <si>
    <t xml:space="preserve">Nursing staff training (daily use, Consola Monitor)</t>
  </si>
  <si>
    <t xml:space="preserve">session</t>
  </si>
  <si>
    <t xml:space="preserve">TR-TEC</t>
  </si>
  <si>
    <t xml:space="preserve">Technical training for maintenance / IT</t>
  </si>
  <si>
    <t xml:space="preserve">TR-DOC</t>
  </si>
  <si>
    <t xml:space="preserve">User and technical manuals (EN / HE)</t>
  </si>
  <si>
    <t xml:space="preserve">E. WARRANTY AND SOFTWARE</t>
  </si>
  <si>
    <t xml:space="preserve">WAR-1Y</t>
  </si>
  <si>
    <t xml:space="preserve">Warranty 1 year on manufactured products</t>
  </si>
  <si>
    <t xml:space="preserve">SW-UPD</t>
  </si>
  <si>
    <t xml:space="preserve">Software licences &amp; updates – years 2 and 3</t>
  </si>
  <si>
    <t xml:space="preserve">year</t>
  </si>
  <si>
    <t xml:space="preserve">year 1 included (EVV038)</t>
  </si>
  <si>
    <t xml:space="preserve">SW-MAINT</t>
  </si>
  <si>
    <t xml:space="preserve">Optional: full remote support</t>
  </si>
  <si>
    <t xml:space="preserve">optional – 15% / year</t>
  </si>
  <si>
    <t xml:space="preserve">TOTAL (before VAT)</t>
  </si>
  <si>
    <t xml:space="preserve">Contingency</t>
  </si>
  <si>
    <t xml:space="preserve">VAT (Israel)</t>
  </si>
  <si>
    <t xml:space="preserve">TOTAL INCL. VAT</t>
  </si>
  <si>
    <t xml:space="preserve">EXAMPLE ONLY – NOT A REAL, FORMAL OR OFFICIAL PROPOSAL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</si>
</sst>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&quot;€ &quot;#,##0.00;&quot;(€ &quot;#,##0.00\);\-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D0021B"/>
      <name val="Arial"/>
      <family val="0"/>
      <charset val="1"/>
    </font>
    <font>
      <b val="true"/>
      <sz val="16"/>
      <color rgb="FF2B275B"/>
      <name val="Arial"/>
      <family val="0"/>
      <charset val="1"/>
    </font>
    <font>
      <sz val="10"/>
      <color rgb="FF6B74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DECEC"/>
        <bgColor rgb="FFFBE9DD"/>
      </patternFill>
    </fill>
    <fill>
      <patternFill patternType="solid">
        <fgColor rgb="FF2B275B"/>
        <bgColor rgb="FF333399"/>
      </patternFill>
    </fill>
    <fill>
      <patternFill patternType="solid">
        <fgColor rgb="FFE8ECF1"/>
        <bgColor rgb="FFFDECEC"/>
      </patternFill>
    </fill>
    <fill>
      <patternFill patternType="solid">
        <fgColor rgb="FFFFFF00"/>
        <bgColor rgb="FFFFFF00"/>
      </patternFill>
    </fill>
    <fill>
      <patternFill patternType="solid">
        <fgColor rgb="FFFBE9DD"/>
        <bgColor rgb="FFFD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E8ECF1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6" customFormat="false" ht="30" hidden="false" customHeight="true" outlineLevel="0" collapsed="false">
      <c r="C6" s="4" t="s">
        <v>4</v>
      </c>
    </row>
    <row r="8" customFormat="false" ht="21.75" hidden="false" customHeight="tru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</row>
    <row r="9" customFormat="false" ht="15" hidden="false" customHeight="false" outlineLevel="0" collapsed="false">
      <c r="A9" s="6" t="s">
        <v>13</v>
      </c>
      <c r="B9" s="7"/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8" t="n">
        <v>1</v>
      </c>
      <c r="B10" s="9" t="s">
        <v>14</v>
      </c>
      <c r="C10" s="10" t="s">
        <v>15</v>
      </c>
      <c r="D10" s="8" t="s">
        <v>16</v>
      </c>
      <c r="E10" s="11" t="n">
        <v>24</v>
      </c>
      <c r="F10" s="12"/>
      <c r="G10" s="13" t="n">
        <f aca="false">E10*F10</f>
        <v>0</v>
      </c>
      <c r="H10" s="10" t="s">
        <v>17</v>
      </c>
    </row>
    <row r="11" customFormat="false" ht="15" hidden="false" customHeight="false" outlineLevel="0" collapsed="false">
      <c r="A11" s="8" t="n">
        <v>2</v>
      </c>
      <c r="B11" s="9" t="s">
        <v>18</v>
      </c>
      <c r="C11" s="10" t="s">
        <v>19</v>
      </c>
      <c r="D11" s="8" t="s">
        <v>16</v>
      </c>
      <c r="E11" s="11" t="n">
        <v>24</v>
      </c>
      <c r="F11" s="12"/>
      <c r="G11" s="13" t="n">
        <f aca="false">E11*F11</f>
        <v>0</v>
      </c>
      <c r="H11" s="10" t="s">
        <v>20</v>
      </c>
    </row>
    <row r="12" customFormat="false" ht="15" hidden="false" customHeight="false" outlineLevel="0" collapsed="false">
      <c r="A12" s="8" t="n">
        <v>3</v>
      </c>
      <c r="B12" s="9" t="s">
        <v>21</v>
      </c>
      <c r="C12" s="10" t="s">
        <v>22</v>
      </c>
      <c r="D12" s="8" t="s">
        <v>16</v>
      </c>
      <c r="E12" s="11" t="n">
        <v>16</v>
      </c>
      <c r="F12" s="12"/>
      <c r="G12" s="13" t="n">
        <f aca="false">E12*F12</f>
        <v>0</v>
      </c>
      <c r="H12" s="10" t="s">
        <v>23</v>
      </c>
    </row>
    <row r="13" customFormat="false" ht="15" hidden="false" customHeight="false" outlineLevel="0" collapsed="false">
      <c r="A13" s="8" t="n">
        <v>4</v>
      </c>
      <c r="B13" s="9" t="s">
        <v>24</v>
      </c>
      <c r="C13" s="10" t="s">
        <v>25</v>
      </c>
      <c r="D13" s="8" t="s">
        <v>16</v>
      </c>
      <c r="E13" s="11" t="n">
        <v>16</v>
      </c>
      <c r="F13" s="12"/>
      <c r="G13" s="13" t="n">
        <f aca="false">E13*F13</f>
        <v>0</v>
      </c>
      <c r="H13" s="10" t="s">
        <v>26</v>
      </c>
    </row>
    <row r="14" customFormat="false" ht="15" hidden="false" customHeight="false" outlineLevel="0" collapsed="false">
      <c r="A14" s="8" t="n">
        <v>5</v>
      </c>
      <c r="B14" s="9" t="s">
        <v>27</v>
      </c>
      <c r="C14" s="10" t="s">
        <v>28</v>
      </c>
      <c r="D14" s="8" t="s">
        <v>16</v>
      </c>
      <c r="E14" s="11" t="n">
        <v>16</v>
      </c>
      <c r="F14" s="12"/>
      <c r="G14" s="13" t="n">
        <f aca="false">E14*F14</f>
        <v>0</v>
      </c>
      <c r="H14" s="10" t="s">
        <v>29</v>
      </c>
    </row>
    <row r="15" customFormat="false" ht="15" hidden="false" customHeight="false" outlineLevel="0" collapsed="false">
      <c r="A15" s="8" t="n">
        <v>6</v>
      </c>
      <c r="B15" s="9" t="s">
        <v>30</v>
      </c>
      <c r="C15" s="10" t="s">
        <v>31</v>
      </c>
      <c r="D15" s="8" t="s">
        <v>16</v>
      </c>
      <c r="E15" s="11" t="n">
        <v>24</v>
      </c>
      <c r="F15" s="12"/>
      <c r="G15" s="13" t="n">
        <f aca="false">E15*F15</f>
        <v>0</v>
      </c>
      <c r="H15" s="10" t="s">
        <v>32</v>
      </c>
    </row>
    <row r="16" customFormat="false" ht="15" hidden="false" customHeight="false" outlineLevel="0" collapsed="false">
      <c r="A16" s="8" t="n">
        <v>7</v>
      </c>
      <c r="B16" s="9" t="s">
        <v>33</v>
      </c>
      <c r="C16" s="10" t="s">
        <v>34</v>
      </c>
      <c r="D16" s="8" t="s">
        <v>16</v>
      </c>
      <c r="E16" s="11" t="n">
        <v>1</v>
      </c>
      <c r="F16" s="12"/>
      <c r="G16" s="13" t="n">
        <f aca="false">E16*F16</f>
        <v>0</v>
      </c>
      <c r="H16" s="10" t="s">
        <v>35</v>
      </c>
    </row>
    <row r="17" customFormat="false" ht="15" hidden="false" customHeight="false" outlineLevel="0" collapsed="false">
      <c r="A17" s="8" t="n">
        <v>8</v>
      </c>
      <c r="B17" s="9" t="s">
        <v>36</v>
      </c>
      <c r="C17" s="10" t="s">
        <v>37</v>
      </c>
      <c r="D17" s="8" t="s">
        <v>16</v>
      </c>
      <c r="E17" s="11" t="n">
        <v>1</v>
      </c>
      <c r="F17" s="12"/>
      <c r="G17" s="13" t="n">
        <f aca="false">E17*F17</f>
        <v>0</v>
      </c>
      <c r="H17" s="10" t="s">
        <v>38</v>
      </c>
    </row>
    <row r="18" customFormat="false" ht="15" hidden="false" customHeight="false" outlineLevel="0" collapsed="false">
      <c r="A18" s="8" t="n">
        <v>9</v>
      </c>
      <c r="B18" s="9" t="s">
        <v>39</v>
      </c>
      <c r="C18" s="10" t="s">
        <v>40</v>
      </c>
      <c r="D18" s="8" t="s">
        <v>16</v>
      </c>
      <c r="E18" s="11" t="n">
        <v>1</v>
      </c>
      <c r="F18" s="12"/>
      <c r="G18" s="13" t="n">
        <f aca="false">E18*F18</f>
        <v>0</v>
      </c>
      <c r="H18" s="10" t="s">
        <v>41</v>
      </c>
    </row>
    <row r="19" customFormat="false" ht="15" hidden="false" customHeight="false" outlineLevel="0" collapsed="false">
      <c r="A19" s="8" t="n">
        <v>10</v>
      </c>
      <c r="B19" s="9" t="s">
        <v>42</v>
      </c>
      <c r="C19" s="10" t="s">
        <v>43</v>
      </c>
      <c r="D19" s="8" t="s">
        <v>16</v>
      </c>
      <c r="E19" s="11" t="n">
        <v>1</v>
      </c>
      <c r="F19" s="12"/>
      <c r="G19" s="13" t="n">
        <f aca="false">E19*F19</f>
        <v>0</v>
      </c>
      <c r="H19" s="10" t="s">
        <v>35</v>
      </c>
    </row>
    <row r="20" customFormat="false" ht="15" hidden="false" customHeight="false" outlineLevel="0" collapsed="false">
      <c r="A20" s="8" t="n">
        <v>11</v>
      </c>
      <c r="B20" s="9" t="s">
        <v>44</v>
      </c>
      <c r="C20" s="10" t="s">
        <v>45</v>
      </c>
      <c r="D20" s="8" t="s">
        <v>16</v>
      </c>
      <c r="E20" s="11" t="n">
        <v>1</v>
      </c>
      <c r="F20" s="12"/>
      <c r="G20" s="13" t="n">
        <f aca="false">E20*F20</f>
        <v>0</v>
      </c>
      <c r="H20" s="10" t="s">
        <v>46</v>
      </c>
    </row>
    <row r="21" customFormat="false" ht="15" hidden="false" customHeight="false" outlineLevel="0" collapsed="false">
      <c r="A21" s="8" t="n">
        <v>12</v>
      </c>
      <c r="B21" s="9" t="s">
        <v>47</v>
      </c>
      <c r="C21" s="10" t="s">
        <v>48</v>
      </c>
      <c r="D21" s="8" t="s">
        <v>16</v>
      </c>
      <c r="E21" s="11" t="n">
        <v>1</v>
      </c>
      <c r="F21" s="12"/>
      <c r="G21" s="13" t="n">
        <f aca="false">E21*F21</f>
        <v>0</v>
      </c>
      <c r="H21" s="10" t="s">
        <v>35</v>
      </c>
    </row>
    <row r="22" customFormat="false" ht="15" hidden="false" customHeight="false" outlineLevel="0" collapsed="false">
      <c r="A22" s="8" t="n">
        <v>13</v>
      </c>
      <c r="B22" s="9" t="s">
        <v>49</v>
      </c>
      <c r="C22" s="10" t="s">
        <v>50</v>
      </c>
      <c r="D22" s="8" t="s">
        <v>16</v>
      </c>
      <c r="E22" s="11" t="n">
        <v>1</v>
      </c>
      <c r="F22" s="12"/>
      <c r="G22" s="13" t="n">
        <f aca="false">E22*F22</f>
        <v>0</v>
      </c>
      <c r="H22" s="10" t="s">
        <v>51</v>
      </c>
    </row>
    <row r="23" customFormat="false" ht="15" hidden="false" customHeight="false" outlineLevel="0" collapsed="false">
      <c r="A23" s="8" t="n">
        <v>14</v>
      </c>
      <c r="B23" s="9" t="s">
        <v>52</v>
      </c>
      <c r="C23" s="10" t="s">
        <v>53</v>
      </c>
      <c r="D23" s="8" t="s">
        <v>16</v>
      </c>
      <c r="E23" s="11" t="n">
        <v>1</v>
      </c>
      <c r="F23" s="12"/>
      <c r="G23" s="13" t="n">
        <f aca="false">E23*F23</f>
        <v>0</v>
      </c>
      <c r="H23" s="10" t="s">
        <v>41</v>
      </c>
    </row>
    <row r="24" customFormat="false" ht="15" hidden="false" customHeight="false" outlineLevel="0" collapsed="false">
      <c r="C24" s="14" t="s">
        <v>54</v>
      </c>
      <c r="G24" s="15" t="n">
        <f aca="false">SUM(G10:G23)</f>
        <v>0</v>
      </c>
    </row>
    <row r="26" customFormat="false" ht="15" hidden="false" customHeight="false" outlineLevel="0" collapsed="false">
      <c r="A26" s="6" t="s">
        <v>55</v>
      </c>
      <c r="B26" s="7"/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A27" s="8" t="n">
        <v>15</v>
      </c>
      <c r="B27" s="9" t="s">
        <v>56</v>
      </c>
      <c r="C27" s="10" t="s">
        <v>57</v>
      </c>
      <c r="D27" s="8" t="s">
        <v>58</v>
      </c>
      <c r="E27" s="11" t="n">
        <v>60</v>
      </c>
      <c r="F27" s="12"/>
      <c r="G27" s="13" t="n">
        <f aca="false">E27*F27</f>
        <v>0</v>
      </c>
      <c r="H27" s="10" t="s">
        <v>59</v>
      </c>
    </row>
    <row r="28" customFormat="false" ht="15" hidden="false" customHeight="false" outlineLevel="0" collapsed="false">
      <c r="A28" s="8" t="n">
        <v>16</v>
      </c>
      <c r="B28" s="9" t="s">
        <v>60</v>
      </c>
      <c r="C28" s="10" t="s">
        <v>61</v>
      </c>
      <c r="D28" s="8" t="s">
        <v>58</v>
      </c>
      <c r="E28" s="11" t="n">
        <v>1000</v>
      </c>
      <c r="F28" s="12"/>
      <c r="G28" s="13" t="n">
        <f aca="false">E28*F28</f>
        <v>0</v>
      </c>
      <c r="H28" s="10" t="s">
        <v>62</v>
      </c>
    </row>
    <row r="29" customFormat="false" ht="15" hidden="false" customHeight="false" outlineLevel="0" collapsed="false">
      <c r="A29" s="8" t="n">
        <v>17</v>
      </c>
      <c r="B29" s="9" t="s">
        <v>63</v>
      </c>
      <c r="C29" s="10" t="s">
        <v>64</v>
      </c>
      <c r="D29" s="8" t="s">
        <v>16</v>
      </c>
      <c r="E29" s="11" t="n">
        <v>24</v>
      </c>
      <c r="F29" s="12"/>
      <c r="G29" s="13" t="n">
        <f aca="false">E29*F29</f>
        <v>0</v>
      </c>
      <c r="H29" s="10" t="s">
        <v>65</v>
      </c>
    </row>
    <row r="30" customFormat="false" ht="15" hidden="false" customHeight="false" outlineLevel="0" collapsed="false">
      <c r="A30" s="8" t="n">
        <v>18</v>
      </c>
      <c r="B30" s="9" t="s">
        <v>66</v>
      </c>
      <c r="C30" s="10" t="s">
        <v>67</v>
      </c>
      <c r="D30" s="8" t="s">
        <v>16</v>
      </c>
      <c r="E30" s="11" t="n">
        <v>72</v>
      </c>
      <c r="F30" s="12"/>
      <c r="G30" s="13" t="n">
        <f aca="false">E30*F30</f>
        <v>0</v>
      </c>
      <c r="H30" s="10" t="s">
        <v>68</v>
      </c>
    </row>
    <row r="31" customFormat="false" ht="15" hidden="false" customHeight="false" outlineLevel="0" collapsed="false">
      <c r="A31" s="8" t="n">
        <v>19</v>
      </c>
      <c r="B31" s="9" t="s">
        <v>69</v>
      </c>
      <c r="C31" s="10" t="s">
        <v>70</v>
      </c>
      <c r="D31" s="8" t="s">
        <v>58</v>
      </c>
      <c r="E31" s="11" t="n">
        <v>33</v>
      </c>
      <c r="F31" s="12"/>
      <c r="G31" s="13" t="n">
        <f aca="false">E31*F31</f>
        <v>0</v>
      </c>
      <c r="H31" s="10" t="s">
        <v>71</v>
      </c>
    </row>
    <row r="32" customFormat="false" ht="15" hidden="false" customHeight="false" outlineLevel="0" collapsed="false">
      <c r="A32" s="8" t="n">
        <v>20</v>
      </c>
      <c r="B32" s="9" t="s">
        <v>72</v>
      </c>
      <c r="C32" s="10" t="s">
        <v>73</v>
      </c>
      <c r="D32" s="8" t="s">
        <v>74</v>
      </c>
      <c r="E32" s="11" t="n">
        <v>1</v>
      </c>
      <c r="F32" s="12"/>
      <c r="G32" s="13" t="n">
        <f aca="false">E32*F32</f>
        <v>0</v>
      </c>
      <c r="H32" s="10" t="s">
        <v>75</v>
      </c>
    </row>
    <row r="33" customFormat="false" ht="15" hidden="false" customHeight="false" outlineLevel="0" collapsed="false">
      <c r="C33" s="14" t="s">
        <v>54</v>
      </c>
      <c r="G33" s="15" t="n">
        <f aca="false">SUM(G27:G32)</f>
        <v>0</v>
      </c>
    </row>
    <row r="35" customFormat="false" ht="15" hidden="false" customHeight="false" outlineLevel="0" collapsed="false">
      <c r="A35" s="6" t="s">
        <v>76</v>
      </c>
      <c r="B35" s="7"/>
      <c r="C35" s="7"/>
      <c r="D35" s="7"/>
      <c r="E35" s="7"/>
      <c r="F35" s="7"/>
      <c r="G35" s="7"/>
      <c r="H35" s="7"/>
    </row>
    <row r="36" customFormat="false" ht="15" hidden="false" customHeight="false" outlineLevel="0" collapsed="false">
      <c r="A36" s="8" t="n">
        <v>21</v>
      </c>
      <c r="B36" s="9" t="s">
        <v>77</v>
      </c>
      <c r="C36" s="10" t="s">
        <v>78</v>
      </c>
      <c r="D36" s="8" t="s">
        <v>16</v>
      </c>
      <c r="E36" s="11" t="n">
        <v>72</v>
      </c>
      <c r="F36" s="12"/>
      <c r="G36" s="13" t="n">
        <f aca="false">E36*F36</f>
        <v>0</v>
      </c>
      <c r="H36" s="10"/>
    </row>
    <row r="37" customFormat="false" ht="15" hidden="false" customHeight="false" outlineLevel="0" collapsed="false">
      <c r="A37" s="8" t="n">
        <v>22</v>
      </c>
      <c r="B37" s="9" t="s">
        <v>79</v>
      </c>
      <c r="C37" s="10" t="s">
        <v>80</v>
      </c>
      <c r="D37" s="8" t="s">
        <v>16</v>
      </c>
      <c r="E37" s="11" t="n">
        <v>24</v>
      </c>
      <c r="F37" s="12"/>
      <c r="G37" s="13" t="n">
        <f aca="false">E37*F37</f>
        <v>0</v>
      </c>
      <c r="H37" s="10"/>
    </row>
    <row r="38" customFormat="false" ht="15" hidden="false" customHeight="false" outlineLevel="0" collapsed="false">
      <c r="A38" s="8" t="n">
        <v>23</v>
      </c>
      <c r="B38" s="9" t="s">
        <v>81</v>
      </c>
      <c r="C38" s="10" t="s">
        <v>82</v>
      </c>
      <c r="D38" s="8" t="s">
        <v>74</v>
      </c>
      <c r="E38" s="11" t="n">
        <v>1</v>
      </c>
      <c r="F38" s="12"/>
      <c r="G38" s="13" t="n">
        <f aca="false">E38*F38</f>
        <v>0</v>
      </c>
      <c r="H38" s="10"/>
    </row>
    <row r="39" customFormat="false" ht="15" hidden="false" customHeight="false" outlineLevel="0" collapsed="false">
      <c r="A39" s="8" t="n">
        <v>24</v>
      </c>
      <c r="B39" s="9" t="s">
        <v>83</v>
      </c>
      <c r="C39" s="10" t="s">
        <v>84</v>
      </c>
      <c r="D39" s="8" t="s">
        <v>74</v>
      </c>
      <c r="E39" s="11" t="n">
        <v>1</v>
      </c>
      <c r="F39" s="12"/>
      <c r="G39" s="13" t="n">
        <f aca="false">E39*F39</f>
        <v>0</v>
      </c>
      <c r="H39" s="10"/>
    </row>
    <row r="40" customFormat="false" ht="15" hidden="false" customHeight="false" outlineLevel="0" collapsed="false">
      <c r="A40" s="8" t="n">
        <v>25</v>
      </c>
      <c r="B40" s="9" t="s">
        <v>85</v>
      </c>
      <c r="C40" s="10" t="s">
        <v>86</v>
      </c>
      <c r="D40" s="8" t="s">
        <v>16</v>
      </c>
      <c r="E40" s="11" t="n">
        <v>56</v>
      </c>
      <c r="F40" s="12"/>
      <c r="G40" s="13" t="n">
        <f aca="false">E40*F40</f>
        <v>0</v>
      </c>
      <c r="H40" s="10" t="s">
        <v>87</v>
      </c>
    </row>
    <row r="41" customFormat="false" ht="15" hidden="false" customHeight="false" outlineLevel="0" collapsed="false">
      <c r="A41" s="8" t="n">
        <v>26</v>
      </c>
      <c r="B41" s="9" t="s">
        <v>88</v>
      </c>
      <c r="C41" s="10" t="s">
        <v>89</v>
      </c>
      <c r="D41" s="8" t="s">
        <v>74</v>
      </c>
      <c r="E41" s="11" t="n">
        <v>1</v>
      </c>
      <c r="F41" s="12"/>
      <c r="G41" s="13" t="n">
        <f aca="false">E41*F41</f>
        <v>0</v>
      </c>
      <c r="H41" s="10"/>
    </row>
    <row r="42" customFormat="false" ht="15" hidden="false" customHeight="false" outlineLevel="0" collapsed="false">
      <c r="C42" s="14" t="s">
        <v>54</v>
      </c>
      <c r="G42" s="15" t="n">
        <f aca="false">SUM(G36:G41)</f>
        <v>0</v>
      </c>
    </row>
    <row r="44" customFormat="false" ht="15" hidden="false" customHeight="false" outlineLevel="0" collapsed="false">
      <c r="A44" s="6" t="s">
        <v>90</v>
      </c>
      <c r="B44" s="7"/>
      <c r="C44" s="7"/>
      <c r="D44" s="7"/>
      <c r="E44" s="7"/>
      <c r="F44" s="7"/>
      <c r="G44" s="7"/>
      <c r="H44" s="7"/>
    </row>
    <row r="45" customFormat="false" ht="15" hidden="false" customHeight="false" outlineLevel="0" collapsed="false">
      <c r="A45" s="8" t="n">
        <v>27</v>
      </c>
      <c r="B45" s="9" t="s">
        <v>91</v>
      </c>
      <c r="C45" s="10" t="s">
        <v>92</v>
      </c>
      <c r="D45" s="8" t="s">
        <v>93</v>
      </c>
      <c r="E45" s="11" t="n">
        <v>2</v>
      </c>
      <c r="F45" s="12"/>
      <c r="G45" s="13" t="n">
        <f aca="false">E45*F45</f>
        <v>0</v>
      </c>
      <c r="H45" s="10"/>
    </row>
    <row r="46" customFormat="false" ht="15" hidden="false" customHeight="false" outlineLevel="0" collapsed="false">
      <c r="A46" s="8" t="n">
        <v>28</v>
      </c>
      <c r="B46" s="9" t="s">
        <v>94</v>
      </c>
      <c r="C46" s="10" t="s">
        <v>95</v>
      </c>
      <c r="D46" s="8" t="s">
        <v>93</v>
      </c>
      <c r="E46" s="11" t="n">
        <v>1</v>
      </c>
      <c r="F46" s="12"/>
      <c r="G46" s="13" t="n">
        <f aca="false">E46*F46</f>
        <v>0</v>
      </c>
      <c r="H46" s="10"/>
    </row>
    <row r="47" customFormat="false" ht="15" hidden="false" customHeight="false" outlineLevel="0" collapsed="false">
      <c r="A47" s="8" t="n">
        <v>29</v>
      </c>
      <c r="B47" s="9" t="s">
        <v>96</v>
      </c>
      <c r="C47" s="10" t="s">
        <v>97</v>
      </c>
      <c r="D47" s="8" t="s">
        <v>74</v>
      </c>
      <c r="E47" s="11" t="n">
        <v>1</v>
      </c>
      <c r="F47" s="12"/>
      <c r="G47" s="13" t="n">
        <f aca="false">E47*F47</f>
        <v>0</v>
      </c>
      <c r="H47" s="10"/>
    </row>
    <row r="48" customFormat="false" ht="15" hidden="false" customHeight="false" outlineLevel="0" collapsed="false">
      <c r="C48" s="14" t="s">
        <v>54</v>
      </c>
      <c r="G48" s="15" t="n">
        <f aca="false">SUM(G45:G47)</f>
        <v>0</v>
      </c>
    </row>
    <row r="50" customFormat="false" ht="15" hidden="false" customHeight="false" outlineLevel="0" collapsed="false">
      <c r="A50" s="6" t="s">
        <v>98</v>
      </c>
      <c r="B50" s="7"/>
      <c r="C50" s="7"/>
      <c r="D50" s="7"/>
      <c r="E50" s="7"/>
      <c r="F50" s="7"/>
      <c r="G50" s="7"/>
      <c r="H50" s="7"/>
    </row>
    <row r="51" customFormat="false" ht="15" hidden="false" customHeight="false" outlineLevel="0" collapsed="false">
      <c r="A51" s="8" t="n">
        <v>30</v>
      </c>
      <c r="B51" s="9" t="s">
        <v>99</v>
      </c>
      <c r="C51" s="10" t="s">
        <v>100</v>
      </c>
      <c r="D51" s="8" t="s">
        <v>74</v>
      </c>
      <c r="E51" s="11" t="n">
        <v>1</v>
      </c>
      <c r="F51" s="12"/>
      <c r="G51" s="13" t="n">
        <f aca="false">E51*F51</f>
        <v>0</v>
      </c>
      <c r="H51" s="10"/>
    </row>
    <row r="52" customFormat="false" ht="15" hidden="false" customHeight="false" outlineLevel="0" collapsed="false">
      <c r="A52" s="8" t="n">
        <v>31</v>
      </c>
      <c r="B52" s="9" t="s">
        <v>101</v>
      </c>
      <c r="C52" s="10" t="s">
        <v>102</v>
      </c>
      <c r="D52" s="8" t="s">
        <v>103</v>
      </c>
      <c r="E52" s="11" t="n">
        <v>2</v>
      </c>
      <c r="F52" s="12"/>
      <c r="G52" s="13" t="n">
        <f aca="false">E52*F52</f>
        <v>0</v>
      </c>
      <c r="H52" s="10" t="s">
        <v>104</v>
      </c>
    </row>
    <row r="53" customFormat="false" ht="15" hidden="false" customHeight="false" outlineLevel="0" collapsed="false">
      <c r="A53" s="8" t="n">
        <v>32</v>
      </c>
      <c r="B53" s="9" t="s">
        <v>105</v>
      </c>
      <c r="C53" s="10" t="s">
        <v>106</v>
      </c>
      <c r="D53" s="8" t="s">
        <v>103</v>
      </c>
      <c r="E53" s="11" t="n">
        <v>0</v>
      </c>
      <c r="F53" s="12"/>
      <c r="G53" s="13" t="n">
        <f aca="false">E53*F53</f>
        <v>0</v>
      </c>
      <c r="H53" s="10" t="s">
        <v>107</v>
      </c>
    </row>
    <row r="54" customFormat="false" ht="15" hidden="false" customHeight="false" outlineLevel="0" collapsed="false">
      <c r="C54" s="14" t="s">
        <v>54</v>
      </c>
      <c r="G54" s="15" t="n">
        <f aca="false">SUM(G51:G53)</f>
        <v>0</v>
      </c>
    </row>
    <row r="56" customFormat="false" ht="15" hidden="false" customHeight="false" outlineLevel="0" collapsed="false">
      <c r="C56" s="14" t="s">
        <v>108</v>
      </c>
      <c r="G56" s="16" t="n">
        <f aca="false">G24+G33+G42+G48+G54</f>
        <v>0</v>
      </c>
    </row>
    <row r="57" customFormat="false" ht="15" hidden="false" customHeight="false" outlineLevel="0" collapsed="false">
      <c r="C57" s="0" t="s">
        <v>109</v>
      </c>
      <c r="F57" s="17" t="n">
        <v>0.05</v>
      </c>
      <c r="G57" s="16" t="n">
        <f aca="false">G56*F57</f>
        <v>0</v>
      </c>
    </row>
    <row r="58" customFormat="false" ht="15" hidden="false" customHeight="false" outlineLevel="0" collapsed="false">
      <c r="C58" s="0" t="s">
        <v>110</v>
      </c>
      <c r="F58" s="17" t="n">
        <v>0.18</v>
      </c>
      <c r="G58" s="16" t="n">
        <f aca="false">(G56+G57)*F58</f>
        <v>0</v>
      </c>
    </row>
    <row r="59" customFormat="false" ht="15" hidden="false" customHeight="false" outlineLevel="0" collapsed="false">
      <c r="A59" s="18"/>
      <c r="B59" s="18"/>
      <c r="C59" s="19" t="s">
        <v>111</v>
      </c>
      <c r="D59" s="18"/>
      <c r="E59" s="18"/>
      <c r="F59" s="18"/>
      <c r="G59" s="20" t="n">
        <f aca="false">G56+G57+G58</f>
        <v>0</v>
      </c>
      <c r="H59" s="18"/>
    </row>
    <row r="61" customFormat="false" ht="15" hidden="false" customHeight="false" outlineLevel="0" collapsed="false">
      <c r="A61" s="21" t="s">
        <v>112</v>
      </c>
      <c r="B61" s="21"/>
      <c r="C61" s="21"/>
      <c r="D61" s="21"/>
      <c r="E61" s="21"/>
      <c r="F61" s="21"/>
      <c r="G61" s="21"/>
      <c r="H61" s="21"/>
    </row>
  </sheetData>
  <mergeCells count="2">
    <mergeCell ref="A1:H1"/>
    <mergeCell ref="A61:H61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&amp;C&amp;Kd0021bEXAMPLE ONLY – NOT A REAL, FORMAL OR OFFICIAL PROPOSAL</oddHeader>
    <oddFooter>&amp;C&amp;Kd0021bEXAMPLE ONLY – NOT A REAL, FORMAL OR OFFICIAL PROPOSAL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2026-10-26T11:19:34Z</dcterms:created>
  <dc:creator>openpyxl</dc:creator>
  <dc:description/>
  <dc:language>en-US</dc:language>
  <cp:lastModifiedBy/>
  <dcterms:modified xsi:type="dcterms:W3CDTF">2026-10-26T11:19:34Z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